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futah-my.sharepoint.com/personal/u1361811_umail_utah_edu/Documents/00_ShawLabWrapUp/02_Resources_Reagent_etc/"/>
    </mc:Choice>
  </mc:AlternateContent>
  <xr:revisionPtr revIDLastSave="252" documentId="8_{A197ED6C-CD2A-4470-A12F-EDD9EBEDE6F6}" xr6:coauthVersionLast="47" xr6:coauthVersionMax="47" xr10:uidLastSave="{1F7151EC-5211-4DF4-907A-7064F33D760B}"/>
  <bookViews>
    <workbookView xWindow="1875" yWindow="195" windowWidth="25035" windowHeight="15480" activeTab="1" xr2:uid="{FDA63F11-1430-4B1F-9E68-DBD66DB81675}"/>
  </bookViews>
  <sheets>
    <sheet name="Buffer Master" sheetId="2" r:id="rId1"/>
    <sheet name="Chemicals" sheetId="1" r:id="rId2"/>
    <sheet name="Backend" sheetId="3" r:id="rId3"/>
  </sheets>
  <definedNames>
    <definedName name="BufferID">Table2[Buffer]</definedName>
    <definedName name="BufferList">Table1[Buffer]</definedName>
    <definedName name="Format">Table3[Column1]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" i="1" l="1" a="1"/>
  <c r="G10" i="1" s="1"/>
  <c r="G11" i="1" a="1"/>
  <c r="G11" i="1" s="1"/>
  <c r="G12" i="1" a="1"/>
  <c r="G12" i="1" s="1"/>
  <c r="H10" i="1" a="1"/>
  <c r="H10" i="1" s="1"/>
  <c r="H11" i="1" a="1"/>
  <c r="H11" i="1" s="1"/>
  <c r="H12" i="1" a="1"/>
  <c r="H12" i="1" s="1"/>
  <c r="G18" i="1" a="1"/>
  <c r="G18" i="1" s="1"/>
  <c r="G19" i="1" a="1"/>
  <c r="G19" i="1" s="1"/>
  <c r="H18" i="1" a="1"/>
  <c r="H18" i="1" s="1"/>
  <c r="H19" i="1" a="1"/>
  <c r="H19" i="1" s="1"/>
  <c r="G17" i="1" a="1"/>
  <c r="G17" i="1" s="1"/>
  <c r="H17" i="1" a="1"/>
  <c r="H17" i="1" s="1"/>
  <c r="G9" i="1" a="1"/>
  <c r="G9" i="1" s="1"/>
  <c r="H9" i="1" a="1"/>
  <c r="H9" i="1" s="1"/>
  <c r="G4" i="1" a="1"/>
  <c r="G4" i="1" s="1"/>
  <c r="G5" i="1" a="1"/>
  <c r="G5" i="1" s="1"/>
  <c r="H4" i="1" a="1"/>
  <c r="H4" i="1" s="1"/>
  <c r="H5" i="1" a="1"/>
  <c r="H5" i="1" s="1"/>
  <c r="G3" i="1" a="1"/>
  <c r="G3" i="1" s="1"/>
  <c r="G6" i="1" a="1"/>
  <c r="G6" i="1" s="1"/>
  <c r="H3" i="1" a="1"/>
  <c r="H3" i="1" s="1"/>
  <c r="H6" i="1" a="1"/>
  <c r="H6" i="1" s="1"/>
  <c r="G7" i="1" a="1"/>
  <c r="G7" i="1" s="1"/>
  <c r="H7" i="1" a="1"/>
  <c r="H7" i="1" s="1"/>
  <c r="G8" i="1" a="1"/>
  <c r="G8" i="1" s="1"/>
  <c r="H8" i="1" a="1"/>
  <c r="H8" i="1" s="1"/>
  <c r="G14" i="1" a="1"/>
  <c r="G14" i="1" s="1"/>
  <c r="H14" i="1" a="1"/>
  <c r="H14" i="1" s="1"/>
  <c r="G2" i="1" a="1"/>
  <c r="G2" i="1" s="1"/>
  <c r="K2" i="1" s="1" a="1"/>
  <c r="K2" i="1" s="1"/>
  <c r="L2" i="1" s="1" a="1"/>
  <c r="L2" i="1" s="1"/>
  <c r="G13" i="1" a="1"/>
  <c r="G13" i="1" s="1"/>
  <c r="K13" i="1" s="1" a="1"/>
  <c r="K13" i="1" s="1"/>
  <c r="L13" i="1" s="1" a="1"/>
  <c r="L13" i="1" s="1"/>
  <c r="G15" i="1" a="1"/>
  <c r="G15" i="1" s="1"/>
  <c r="G21" i="1" a="1"/>
  <c r="G21" i="1" s="1"/>
  <c r="K21" i="1" s="1" a="1"/>
  <c r="K21" i="1" s="1"/>
  <c r="L21" i="1" s="1" a="1"/>
  <c r="L21" i="1" s="1"/>
  <c r="G16" i="1" a="1"/>
  <c r="G16" i="1" s="1"/>
  <c r="G20" i="1" a="1"/>
  <c r="G20" i="1" s="1"/>
  <c r="G22" i="1" a="1"/>
  <c r="G22" i="1" s="1"/>
  <c r="G23" i="1" a="1"/>
  <c r="G23" i="1" s="1"/>
  <c r="G24" i="1" a="1"/>
  <c r="G24" i="1" s="1"/>
  <c r="G25" i="1" a="1"/>
  <c r="G25" i="1" s="1"/>
  <c r="H2" i="1" a="1"/>
  <c r="H2" i="1" s="1"/>
  <c r="H13" i="1" a="1"/>
  <c r="H13" i="1" s="1"/>
  <c r="H15" i="1" a="1"/>
  <c r="H15" i="1" s="1"/>
  <c r="H21" i="1" a="1"/>
  <c r="H21" i="1" s="1"/>
  <c r="H16" i="1" a="1"/>
  <c r="H16" i="1" s="1"/>
  <c r="H20" i="1" a="1"/>
  <c r="H20" i="1" s="1"/>
  <c r="H22" i="1" a="1"/>
  <c r="H22" i="1" s="1"/>
  <c r="H23" i="1" a="1"/>
  <c r="H23" i="1" s="1"/>
  <c r="H24" i="1" a="1"/>
  <c r="H24" i="1" s="1"/>
  <c r="H25" i="1" a="1"/>
  <c r="H25" i="1" s="1"/>
  <c r="K12" i="1" l="1" a="1"/>
  <c r="K12" i="1" s="1"/>
  <c r="L12" i="1" s="1" a="1"/>
  <c r="L12" i="1" s="1"/>
  <c r="K11" i="1" a="1"/>
  <c r="K11" i="1" s="1"/>
  <c r="L11" i="1" s="1" a="1"/>
  <c r="L11" i="1" s="1"/>
  <c r="K15" i="1" a="1"/>
  <c r="K15" i="1" s="1"/>
  <c r="L15" i="1" s="1" a="1"/>
  <c r="L15" i="1" s="1"/>
  <c r="K10" i="1" a="1"/>
  <c r="K10" i="1" s="1"/>
  <c r="L10" i="1" s="1" a="1"/>
  <c r="L10" i="1" s="1"/>
  <c r="K3" i="1" a="1"/>
  <c r="K3" i="1" s="1"/>
  <c r="L3" i="1" s="1" a="1"/>
  <c r="L3" i="1" s="1"/>
  <c r="K17" i="1" a="1"/>
  <c r="K17" i="1" s="1"/>
  <c r="L17" i="1" s="1" a="1"/>
  <c r="L17" i="1" s="1"/>
  <c r="K6" i="1" a="1"/>
  <c r="K6" i="1" s="1"/>
  <c r="L6" i="1" s="1" a="1"/>
  <c r="L6" i="1" s="1"/>
  <c r="K4" i="1" a="1"/>
  <c r="K4" i="1" s="1"/>
  <c r="L4" i="1" s="1" a="1"/>
  <c r="L4" i="1" s="1"/>
  <c r="K25" i="1" a="1"/>
  <c r="K25" i="1" s="1"/>
  <c r="L25" i="1" s="1" a="1"/>
  <c r="L25" i="1" s="1"/>
  <c r="K5" i="1" a="1"/>
  <c r="K5" i="1" s="1"/>
  <c r="L5" i="1" s="1" a="1"/>
  <c r="L5" i="1" s="1"/>
  <c r="K9" i="1" a="1"/>
  <c r="K9" i="1" s="1"/>
  <c r="L9" i="1" s="1" a="1"/>
  <c r="L9" i="1" s="1"/>
  <c r="K8" i="1" a="1"/>
  <c r="K8" i="1" s="1"/>
  <c r="L8" i="1" s="1" a="1"/>
  <c r="L8" i="1" s="1"/>
  <c r="K14" i="1" a="1"/>
  <c r="K14" i="1" s="1"/>
  <c r="L14" i="1" s="1" a="1"/>
  <c r="L14" i="1" s="1"/>
  <c r="K7" i="1" a="1"/>
  <c r="K7" i="1" s="1"/>
  <c r="L7" i="1" s="1" a="1"/>
  <c r="L7" i="1" s="1"/>
  <c r="K24" i="1" a="1"/>
  <c r="K24" i="1" s="1"/>
  <c r="L24" i="1" s="1" a="1"/>
  <c r="L24" i="1" s="1"/>
  <c r="K23" i="1" a="1"/>
  <c r="K23" i="1" s="1"/>
  <c r="L23" i="1" s="1" a="1"/>
  <c r="L23" i="1" s="1"/>
  <c r="K20" i="1" a="1"/>
  <c r="K20" i="1" s="1"/>
  <c r="L20" i="1" s="1" a="1"/>
  <c r="L20" i="1" s="1"/>
  <c r="K19" i="1" a="1"/>
  <c r="K19" i="1" s="1"/>
  <c r="L19" i="1" s="1" a="1"/>
  <c r="L19" i="1" s="1"/>
  <c r="K22" i="1" a="1"/>
  <c r="K22" i="1" s="1"/>
  <c r="L22" i="1" s="1" a="1"/>
  <c r="L22" i="1" s="1"/>
  <c r="K16" i="1" a="1"/>
  <c r="K16" i="1" s="1"/>
  <c r="L16" i="1" s="1" a="1"/>
  <c r="L16" i="1" s="1"/>
  <c r="K18" i="1" a="1"/>
  <c r="K18" i="1" s="1"/>
  <c r="L18" i="1" s="1" a="1"/>
  <c r="L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<sst xmlns="http://schemas.openxmlformats.org/spreadsheetml/2006/main" count="165" uniqueCount="68">
  <si>
    <t>Format</t>
  </si>
  <si>
    <t>MW (g/mol)</t>
  </si>
  <si>
    <t>Stock Value</t>
  </si>
  <si>
    <t>Stock Unit</t>
  </si>
  <si>
    <t>Notes</t>
  </si>
  <si>
    <t>Powder</t>
  </si>
  <si>
    <t>mM</t>
  </si>
  <si>
    <t>Tris-HCl (pH 7.4)</t>
  </si>
  <si>
    <t>Liquid</t>
  </si>
  <si>
    <t>M</t>
  </si>
  <si>
    <t>EDTA (pH 8.0)</t>
  </si>
  <si>
    <t>Much easier to use a liquid stock than adjusting powder pH.</t>
  </si>
  <si>
    <t>SDS</t>
  </si>
  <si>
    <t>%</t>
  </si>
  <si>
    <t>Do not autoclave; precipitates out in the cold.</t>
  </si>
  <si>
    <t>Triton X-100</t>
  </si>
  <si>
    <t>X</t>
  </si>
  <si>
    <t>Proprietary mix. Add fresh just before using the buffer.</t>
  </si>
  <si>
    <t>Ampicillin</t>
  </si>
  <si>
    <t>mg/mL</t>
  </si>
  <si>
    <t>µg/mL</t>
  </si>
  <si>
    <t>BSA</t>
  </si>
  <si>
    <t>Sprinkle on top of water/buffer and let it dissolve without stirring.</t>
  </si>
  <si>
    <t>RNase A</t>
  </si>
  <si>
    <t>U/µL</t>
  </si>
  <si>
    <t>U/mL</t>
  </si>
  <si>
    <t>Enzyme; unit conversions required during calculation.</t>
  </si>
  <si>
    <t>DTT</t>
  </si>
  <si>
    <t>Make from powder, aliquot into liquids, store at -20°C.</t>
  </si>
  <si>
    <t>NA</t>
  </si>
  <si>
    <t xml:space="preserve">   </t>
  </si>
  <si>
    <t>g/mol</t>
  </si>
  <si>
    <t>Target Unit</t>
  </si>
  <si>
    <t>Column1</t>
  </si>
  <si>
    <t>Target Value</t>
  </si>
  <si>
    <t>Amount Needed</t>
  </si>
  <si>
    <t>Amount Unit</t>
  </si>
  <si>
    <t>KCl</t>
  </si>
  <si>
    <t>CaCl₂·2H₂O</t>
  </si>
  <si>
    <t>MgSO₄·7H₂O</t>
  </si>
  <si>
    <t>NaHCO₃</t>
  </si>
  <si>
    <t>KH₂PO₄</t>
  </si>
  <si>
    <t>Glucose</t>
  </si>
  <si>
    <t>NaCl</t>
  </si>
  <si>
    <t>Buffer</t>
  </si>
  <si>
    <t>Date Created</t>
  </si>
  <si>
    <t>Description</t>
  </si>
  <si>
    <t>IR Perfusion_Received from Lindsey Taylor</t>
  </si>
  <si>
    <t>Standard RIPA from Shaw lab</t>
  </si>
  <si>
    <t>EDTA</t>
  </si>
  <si>
    <t>Tablet</t>
  </si>
  <si>
    <t>Sodium Deoxycholate</t>
  </si>
  <si>
    <t>NaF</t>
  </si>
  <si>
    <t>Na₃VO₄</t>
  </si>
  <si>
    <t>µM</t>
  </si>
  <si>
    <t>% (w/v)</t>
  </si>
  <si>
    <t>Standard TNT from Shaw lab</t>
  </si>
  <si>
    <t>Tris (pH 8)</t>
  </si>
  <si>
    <t>Tween 20</t>
  </si>
  <si>
    <t>Protease &amp; Phosphotate Inhibitors</t>
  </si>
  <si>
    <t>Viscous. Should do serial dilution.</t>
  </si>
  <si>
    <t>KHB</t>
  </si>
  <si>
    <t>Mito_Isolation</t>
  </si>
  <si>
    <t>RIPA 2X</t>
  </si>
  <si>
    <t>TNT 10X</t>
  </si>
  <si>
    <t>Chemical</t>
  </si>
  <si>
    <t>Standard Stock Value</t>
  </si>
  <si>
    <t>Standard Base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</si>
</sst>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right" vertical="center"/>
    </xf>
    <xf numFmtId="0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NumberFormat="1" applyFont="1" applyAlignment="1">
      <alignment horizontal="right" vertical="top"/>
    </xf>
    <xf numFmtId="0" fontId="6" fillId="0" borderId="0" xfId="0" applyNumberFormat="1" applyFont="1" applyAlignment="1">
      <alignment horizontal="left" vertical="top"/>
    </xf>
    <xf numFmtId="164" fontId="6" fillId="0" borderId="0" xfId="0" applyNumberFormat="1" applyFont="1" applyAlignment="1">
      <alignment horizontal="right" vertical="top"/>
    </xf>
    <xf numFmtId="164" fontId="6" fillId="0" borderId="0" xfId="0" applyNumberFormat="1" applyFont="1" applyAlignment="1">
      <alignment horizontal="right" vertical="top" wrapText="1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left" vertical="top"/>
    </xf>
    <xf numFmtId="0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right" vertical="top"/>
    </xf>
  </cellXfs>
  <cellStyles count="1">
    <cellStyle name="Normal" xfId="0" builtinId="0"/>
  </cellStyles>
  <dxfs count="20"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numFmt numFmtId="0" formatCode="General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D0E216-2A34-4A3A-AC9C-68F6BC23DEBC}" name="Table2" displayName="Table2" ref="A1:C5" totalsRowShown="0" headerRowDxfId="19" dataDxfId="18">
  <autoFilter ref="A1:C5" xr:uid="{79D0E216-2A34-4A3A-AC9C-68F6BC23DEBC}"/>
  <tableColumns count="3">
    <tableColumn id="1" xr3:uid="{5520E954-D694-4A67-B1F3-1F486835BB05}" name="Buffer" dataDxfId="17"/>
    <tableColumn id="2" xr3:uid="{2396DF9B-6260-43EF-9675-51ED50B0DC4E}" name="Date Created" dataDxfId="16"/>
    <tableColumn id="4" xr3:uid="{A2AA9F7C-DC68-4624-BFAD-6E4CF9830FA6}" name="Description" dataDxfId="15"/>
  </tableColumns>
  <tableStyleInfo name="TableStyleDark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D18CB5-4D56-43AD-9A10-D6A1A43DCCA9}" name="Table1" displayName="Table1" ref="A1:M25" totalsRowShown="0" headerRowDxfId="14" dataDxfId="13">
  <autoFilter ref="A1:M25" xr:uid="{85D18CB5-4D56-43AD-9A10-D6A1A43DCCA9}"/>
  <tableColumns count="13">
    <tableColumn id="14" xr3:uid="{8339754A-4390-4E80-A287-D585D9B04CF3}" name="Buffer" dataDxfId="12"/>
    <tableColumn id="1" xr3:uid="{A075C41C-76E6-4DF8-A9A1-BD1A70FA0052}" name="Chemical" dataDxfId="11"/>
    <tableColumn id="2" xr3:uid="{FE6494CE-947D-4C9D-B9DF-34FB0D47BFD0}" name="Format" dataDxfId="10"/>
    <tableColumn id="3" xr3:uid="{37225784-57C7-4DE2-841A-3FFF64FA1D22}" name="MW (g/mol)" dataDxfId="9"/>
    <tableColumn id="4" xr3:uid="{F542CF92-ADF3-45CD-AB3C-DE271B5953BD}" name="Stock Value" dataDxfId="8"/>
    <tableColumn id="5" xr3:uid="{99549813-3009-4EE5-AE2A-D379B9A85C40}" name="Stock Unit" dataDxfId="7"/>
    <tableColumn id="6" xr3:uid="{F4C952E6-15F9-4A44-AD12-EBAC4FED40CF}" name="Standard Stock Value" dataDxfId="6">
      <calculatedColumnFormula array="1">_xlfn.IFS(Table1[[#This Row],[Stock Unit]]="NA","NA",Table1[[#This Row],[Stock Unit]]="g/mol",Table1[[#This Row],[MW (g/mol)]],Table1[[#This Row],[Stock Unit]]="M",Table1[[#This Row],[Stock Value]],Table1[[#This Row],[Stock Unit]]="mM",Table1[[#This Row],[Stock Value]]/1000,Table1[[#This Row],[Stock Unit]]="%",Table1[[#This Row],[Stock Value]],Table1[[#This Row],[Stock Unit]]="X",Table1[[#This Row],[Stock Value]],Table1[[#This Row],[Stock Unit]]="µM",Table1[[#This Row],[Stock Value]]/1000000,Table1[[#This Row],[Stock Unit]]="mg/mL",Table1[[#This Row],[Stock Value]],TRUE,"!!!")</calculatedColumnFormula>
    </tableColumn>
    <tableColumn id="7" xr3:uid="{B9923030-9EEF-4C19-B65D-00F03674A7A0}" name="Standard Base Unit" dataDxfId="5">
      <calculatedColumnFormula array="1">_xlfn.IFS(Table1[[#This Row],[Stock Unit]]="g/mol","g/mol",Table1[[#This Row],[Stock Unit]]="NA","NA",Table1[[#This Row],[Stock Unit]]="M","M",Table1[[#This Row],[Stock Unit]]="%","%",Table1[[#This Row],[Stock Unit]]="X","X", Table1[[#This Row],[Stock Unit]]="mg/mL", "mg/mL", TRUE,"!!!")</calculatedColumnFormula>
    </tableColumn>
    <tableColumn id="10" xr3:uid="{B667BD9F-C044-473B-BAF1-C3441DB9481C}" name="Target Value" dataDxfId="4"/>
    <tableColumn id="8" xr3:uid="{43B76829-AC88-46C6-848A-119468073336}" name="Target Unit" dataDxfId="3"/>
    <tableColumn id="12" xr3:uid="{D5EAE0B3-4609-45C2-BB23-269109C20ECD}" name="Amount Needed" dataDxfId="2">
      <calculatedColumnFormula array="1">_xlfn.IFS(Table1[[#This Row],[Standard Base Unit]]=Table1[[#This Row],[Target Unit]],Table1[[#This Row],[Standard Stock Value]]/Table1[[#This Row],[Target Value]],
SUBSTITUTE(Table1[[#This Row],[Target Unit]],Table1[[#This Row],[Standard Base Unit]],"")="m",Table1[[#This Row],[Standard Stock Value]]/Table1[[#This Row],[Target Value]]*1000,
SUBSTITUTE(Table1[[#This Row],[Target Unit]],Table1[[#This Row],[Standard Base Unit]],"")="µ",Table1[[#This Row],[Standard Stock Value]]/Table1[[#This Row],[Target Value]]*1000000,
SUBSTITUTE(Table1[[#This Row],[Target Unit]],Table1[[#This Row],[Standard Base Unit]],"")="n",Table1[[#This Row],[Standard Stock Value]]/Table1[[#This Row],[Target Value]]*1000000000,
SUBSTITUTE(Table1[[#This Row],[Target Unit]],Table1[[#This Row],[Standard Base Unit]],"")="p",Table1[[#This Row],[Standard Stock Value]]/Table1[[#This Row],[Target Value]]*1000000000000,
AND(Table1[[#This Row],[Format]]="Powder",Table1[[#This Row],[Target Unit]]="M"),Table1[[#This Row],[Standard Stock Value]]*Table1[[#This Row],[Target Value]],
AND(Table1[[#This Row],[Format]]="Powder",Table1[[#This Row],[Target Unit]]="mM"),Table1[[#This Row],[Standard Stock Value]]*Table1[[#This Row],[Target Value]]/1000,
AND(Table1[[#This Row],[Format]]="Powder",Table1[[#This Row],[Target Unit]]="µM"),Table1[[#This Row],[Standard Stock Value]]*Table1[[#This Row],[Target Value]]/1000000,
AND(Table1[[#This Row],[Format]]="Powder",Table1[[#This Row],[Target Unit]]="% (w/v)"),Table1[[#This Row],[Target Value]]*10,
TRUE, "!!!")</calculatedColumnFormula>
    </tableColumn>
    <tableColumn id="11" xr3:uid="{6CAA0010-6471-4568-82BF-243F404E3D60}" name="Amount Unit" dataDxfId="1">
      <calculatedColumnFormula array="1">_xlfn.IFS(Table1[[#This Row],[Format]]="Powder","g/L",Table1[[#This Row],[Format]]="Liquid",":1 (" &amp; 1000/Table1[[#This Row],[Amount Needed]] &amp;  " mL/L)", TRUE, "!!!")</calculatedColumnFormula>
    </tableColumn>
    <tableColumn id="9" xr3:uid="{89A6CDF3-14FB-4D97-AB6A-3336E96C5D28}" name="Notes" dataDxfId="0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75528A-E0F4-4393-9596-0505D3106DCC}" name="Table3" displayName="Table3" ref="B1:B4" totalsRowShown="0">
  <autoFilter ref="B1:B4" xr:uid="{A975528A-E0F4-4393-9596-0505D3106DCC}"/>
  <tableColumns count="1">
    <tableColumn id="1" xr3:uid="{FC1AF218-AE3C-446B-AD8A-9BEC4B36C9FD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D0F3A-7ED2-47AC-B9C2-CB0A02FEF993}">
  <dimension ref="A1:C5"/>
  <sheetViews>
    <sheetView workbookViewId="0">
      <selection activeCell="B11" sqref="B11"/>
    </sheetView>
  </sheetViews>
  <sheetFormatPr defaultRowHeight="15" x14ac:dyDescent="0.25"/>
  <cols>
    <col min="1" max="1" width="18" style="1" bestFit="1" customWidth="1"/>
    <col min="2" max="2" width="14.7109375" style="1" customWidth="1"/>
    <col min="3" max="3" width="39.5703125" style="1" bestFit="1" customWidth="1"/>
    <col min="4" max="16384" width="9.140625" style="1"/>
  </cols>
  <sheetData>
    <row r="1" spans="1:3" x14ac:dyDescent="0.25">
      <c r="A1" s="1" t="s">
        <v>44</v>
      </c>
      <c r="B1" s="1" t="s">
        <v>45</v>
      </c>
      <c r="C1" s="1" t="s">
        <v>46</v>
      </c>
    </row>
    <row r="2" spans="1:3" x14ac:dyDescent="0.25">
      <c r="A2" s="1" t="s">
        <v>61</v>
      </c>
      <c r="B2" s="21">
        <v>46076</v>
      </c>
      <c r="C2" s="1" t="s">
        <v>47</v>
      </c>
    </row>
    <row r="3" spans="1:3" x14ac:dyDescent="0.25">
      <c r="A3" s="1" t="s">
        <v>63</v>
      </c>
      <c r="B3" s="21">
        <v>46076</v>
      </c>
      <c r="C3" s="1" t="s">
        <v>48</v>
      </c>
    </row>
    <row r="4" spans="1:3" x14ac:dyDescent="0.25">
      <c r="A4" s="1" t="s">
        <v>62</v>
      </c>
      <c r="B4" s="21">
        <v>46076</v>
      </c>
    </row>
    <row r="5" spans="1:3" x14ac:dyDescent="0.25">
      <c r="A5" s="1" t="s">
        <v>64</v>
      </c>
      <c r="B5" s="21">
        <v>46076</v>
      </c>
      <c r="C5" s="1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CCAB-9908-420E-8701-C4A246E50A96}">
  <dimension ref="A1:M35"/>
  <sheetViews>
    <sheetView tabSelected="1" workbookViewId="0">
      <selection activeCell="J7" sqref="J7"/>
    </sheetView>
  </sheetViews>
  <sheetFormatPr defaultRowHeight="15" x14ac:dyDescent="0.25"/>
  <cols>
    <col min="1" max="1" width="11.140625" style="1" bestFit="1" customWidth="1"/>
    <col min="2" max="2" width="32.140625" style="1" bestFit="1" customWidth="1"/>
    <col min="3" max="3" width="14.140625" style="1" customWidth="1"/>
    <col min="4" max="4" width="7.42578125" style="5" customWidth="1"/>
    <col min="5" max="5" width="12.5703125" style="23" customWidth="1"/>
    <col min="6" max="6" width="11.5703125" style="24" customWidth="1"/>
    <col min="7" max="7" width="9.140625" style="7" customWidth="1"/>
    <col min="8" max="8" width="8.28515625" style="6" customWidth="1"/>
    <col min="9" max="9" width="8.7109375" style="25" customWidth="1"/>
    <col min="10" max="10" width="8.7109375" style="28" customWidth="1"/>
    <col min="11" max="11" width="8.7109375" style="9" customWidth="1"/>
    <col min="12" max="12" width="12.7109375" style="1" bestFit="1" customWidth="1"/>
    <col min="13" max="13" width="61.140625" style="1" bestFit="1" customWidth="1"/>
    <col min="14" max="16384" width="9.140625" style="1"/>
  </cols>
  <sheetData>
    <row r="1" spans="1:13" s="2" customFormat="1" ht="45" x14ac:dyDescent="0.25">
      <c r="A1" s="2" t="s">
        <v>44</v>
      </c>
      <c r="B1" s="2" t="s">
        <v>65</v>
      </c>
      <c r="C1" s="2" t="s">
        <v>0</v>
      </c>
      <c r="D1" s="2" t="s">
        <v>1</v>
      </c>
      <c r="E1" s="3" t="s">
        <v>2</v>
      </c>
      <c r="F1" s="3" t="s">
        <v>3</v>
      </c>
      <c r="G1" s="4" t="s">
        <v>66</v>
      </c>
      <c r="H1" s="4" t="s">
        <v>67</v>
      </c>
      <c r="I1" s="3" t="s">
        <v>34</v>
      </c>
      <c r="J1" s="3" t="s">
        <v>32</v>
      </c>
      <c r="K1" s="8" t="s">
        <v>35</v>
      </c>
      <c r="L1" s="8" t="s">
        <v>36</v>
      </c>
      <c r="M1" s="2" t="s">
        <v>4</v>
      </c>
    </row>
    <row r="2" spans="1:13" x14ac:dyDescent="0.25">
      <c r="A2" s="1" t="s">
        <v>61</v>
      </c>
      <c r="B2" s="1" t="s">
        <v>43</v>
      </c>
      <c r="C2" s="1" t="s">
        <v>5</v>
      </c>
      <c r="D2" s="1">
        <v>58.44</v>
      </c>
      <c r="E2" s="22" t="s">
        <v>29</v>
      </c>
      <c r="F2" s="23" t="s">
        <v>31</v>
      </c>
      <c r="G2" s="10" cm="1">
        <f t="array" ref="G2">_xlfn.IFS(Table1[[#This Row],[Stock Unit]]="NA","NA",Table1[[#This Row],[Stock Unit]]="g/mol",Table1[[#This Row],[MW (g/mol)]],Table1[[#This Row],[Stock Unit]]="M",Table1[[#This Row],[Stock Value]],Table1[[#This Row],[Stock Unit]]="mM",Table1[[#This Row],[Stock Value]]/1000,Table1[[#This Row],[Stock Unit]]="%",Table1[[#This Row],[Stock Value]],Table1[[#This Row],[Stock Unit]]="X",Table1[[#This Row],[Stock Value]],Table1[[#This Row],[Stock Unit]]="µM",Table1[[#This Row],[Stock Value]]/1000000,Table1[[#This Row],[Stock Unit]]="mg/mL",Table1[[#This Row],[Stock Value]],TRUE,"!!!")</f>
        <v>58.44</v>
      </c>
      <c r="H2" s="11" t="str" cm="1">
        <f t="array" ref="H2">_xlfn.IFS(Table1[[#This Row],[Stock Unit]]="g/mol","g/mol",Table1[[#This Row],[Stock Unit]]="NA","NA",Table1[[#This Row],[Stock Unit]]="M","M",Table1[[#This Row],[Stock Unit]]="%","%",Table1[[#This Row],[Stock Unit]]="X","X", Table1[[#This Row],[Stock Unit]]="mg/mL", "mg/mL", TRUE,"!!!")</f>
        <v>g/mol</v>
      </c>
      <c r="I2" s="22">
        <v>118</v>
      </c>
      <c r="J2" s="25" t="s">
        <v>6</v>
      </c>
      <c r="K2" s="19" cm="1">
        <f t="array" ref="K2">_xlfn.IFS(Table1[[#This Row],[Standard Base Unit]]=Table1[[#This Row],[Target Unit]],Table1[[#This Row],[Standard Stock Value]]/Table1[[#This Row],[Target Value]],
SUBSTITUTE(Table1[[#This Row],[Target Unit]],Table1[[#This Row],[Standard Base Unit]],"")="m",Table1[[#This Row],[Standard Stock Value]]/Table1[[#This Row],[Target Value]]*1000,
SUBSTITUTE(Table1[[#This Row],[Target Unit]],Table1[[#This Row],[Standard Base Unit]],"")="µ",Table1[[#This Row],[Standard Stock Value]]/Table1[[#This Row],[Target Value]]*1000000,
SUBSTITUTE(Table1[[#This Row],[Target Unit]],Table1[[#This Row],[Standard Base Unit]],"")="n",Table1[[#This Row],[Standard Stock Value]]/Table1[[#This Row],[Target Value]]*1000000000,
SUBSTITUTE(Table1[[#This Row],[Target Unit]],Table1[[#This Row],[Standard Base Unit]],"")="p",Table1[[#This Row],[Standard Stock Value]]/Table1[[#This Row],[Target Value]]*1000000000000,
AND(Table1[[#This Row],[Format]]="Powder",Table1[[#This Row],[Target Unit]]="M"),Table1[[#This Row],[Standard Stock Value]]*Table1[[#This Row],[Target Value]],
AND(Table1[[#This Row],[Format]]="Powder",Table1[[#This Row],[Target Unit]]="mM"),Table1[[#This Row],[Standard Stock Value]]*Table1[[#This Row],[Target Value]]/1000,
AND(Table1[[#This Row],[Format]]="Powder",Table1[[#This Row],[Target Unit]]="µM"),Table1[[#This Row],[Standard Stock Value]]*Table1[[#This Row],[Target Value]]/1000000,
AND(Table1[[#This Row],[Format]]="Powder",Table1[[#This Row],[Target Unit]]="% (w/v)"),Table1[[#This Row],[Target Value]]*10,
TRUE, "!!!")</f>
        <v>6.8959200000000003</v>
      </c>
      <c r="L2" s="15" t="str" cm="1">
        <f t="array" ref="L2">_xlfn.IFS(Table1[[#This Row],[Format]]="Powder","g/L",Table1[[#This Row],[Format]]="Liquid",":1 (" &amp; 1000/Table1[[#This Row],[Amount Needed]] &amp;  " mL/L)", TRUE, "!!!")</f>
        <v>g/L</v>
      </c>
    </row>
    <row r="3" spans="1:13" x14ac:dyDescent="0.25">
      <c r="A3" s="1" t="s">
        <v>61</v>
      </c>
      <c r="B3" s="1" t="s">
        <v>37</v>
      </c>
      <c r="C3" s="1" t="s">
        <v>5</v>
      </c>
      <c r="D3" s="1">
        <v>74.55</v>
      </c>
      <c r="E3" s="22" t="s">
        <v>29</v>
      </c>
      <c r="F3" s="23" t="s">
        <v>31</v>
      </c>
      <c r="G3" s="12" cm="1">
        <f t="array" ref="G3">_xlfn.IFS(Table1[[#This Row],[Stock Unit]]="NA","NA",Table1[[#This Row],[Stock Unit]]="g/mol",Table1[[#This Row],[MW (g/mol)]],Table1[[#This Row],[Stock Unit]]="M",Table1[[#This Row],[Stock Value]],Table1[[#This Row],[Stock Unit]]="mM",Table1[[#This Row],[Stock Value]]/1000,Table1[[#This Row],[Stock Unit]]="%",Table1[[#This Row],[Stock Value]],Table1[[#This Row],[Stock Unit]]="X",Table1[[#This Row],[Stock Value]],Table1[[#This Row],[Stock Unit]]="µM",Table1[[#This Row],[Stock Value]]/1000000,Table1[[#This Row],[Stock Unit]]="mg/mL",Table1[[#This Row],[Stock Value]],TRUE,"!!!")</f>
        <v>74.55</v>
      </c>
      <c r="H3" s="13" t="str" cm="1">
        <f t="array" ref="H3">_xlfn.IFS(Table1[[#This Row],[Stock Unit]]="g/mol","g/mol",Table1[[#This Row],[Stock Unit]]="NA","NA",Table1[[#This Row],[Stock Unit]]="M","M",Table1[[#This Row],[Stock Unit]]="%","%",Table1[[#This Row],[Stock Unit]]="X","X", Table1[[#This Row],[Stock Unit]]="mg/mL", "mg/mL", TRUE,"!!!")</f>
        <v>g/mol</v>
      </c>
      <c r="I3" s="22">
        <v>4.7</v>
      </c>
      <c r="J3" s="25" t="s">
        <v>6</v>
      </c>
      <c r="K3" s="19" cm="1">
        <f t="array" ref="K3">_xlfn.IFS(Table1[[#This Row],[Standard Base Unit]]=Table1[[#This Row],[Target Unit]],Table1[[#This Row],[Standard Stock Value]]/Table1[[#This Row],[Target Value]],
SUBSTITUTE(Table1[[#This Row],[Target Unit]],Table1[[#This Row],[Standard Base Unit]],"")="m",Table1[[#This Row],[Standard Stock Value]]/Table1[[#This Row],[Target Value]]*1000,
SUBSTITUTE(Table1[[#This Row],[Target Unit]],Table1[[#This Row],[Standard Base Unit]],"")="µ",Table1[[#This Row],[Standard Stock Value]]/Table1[[#This Row],[Target Value]]*1000000,
SUBSTITUTE(Table1[[#This Row],[Target Unit]],Table1[[#This Row],[Standard Base Unit]],"")="n",Table1[[#This Row],[Standard Stock Value]]/Table1[[#This Row],[Target Value]]*1000000000,
SUBSTITUTE(Table1[[#This Row],[Target Unit]],Table1[[#This Row],[Standard Base Unit]],"")="p",Table1[[#This Row],[Standard Stock Value]]/Table1[[#This Row],[Target Value]]*1000000000000,
AND(Table1[[#This Row],[Format]]="Powder",Table1[[#This Row],[Target Unit]]="M"),Table1[[#This Row],[Standard Stock Value]]*Table1[[#This Row],[Target Value]],
AND(Table1[[#This Row],[Format]]="Powder",Table1[[#This Row],[Target Unit]]="mM"),Table1[[#This Row],[Standard Stock Value]]*Table1[[#This Row],[Target Value]]/1000,
AND(Table1[[#This Row],[Format]]="Powder",Table1[[#This Row],[Target Unit]]="µM"),Table1[[#This Row],[Standard Stock Value]]*Table1[[#This Row],[Target Value]]/1000000,
AND(Table1[[#This Row],[Format]]="Powder",Table1[[#This Row],[Target Unit]]="% (w/v)"),Table1[[#This Row],[Target Value]]*10,
TRUE, "!!!")</f>
        <v>0.350385</v>
      </c>
      <c r="L3" s="18" t="str" cm="1">
        <f t="array" ref="L3">_xlfn.IFS(Table1[[#This Row],[Format]]="Powder","g/L",Table1[[#This Row],[Format]]="Liquid",":1 (" &amp; 1000/Table1[[#This Row],[Amount Needed]] &amp;  " mL/L)", TRUE, "!!!")</f>
        <v>g/L</v>
      </c>
    </row>
    <row r="4" spans="1:13" x14ac:dyDescent="0.25">
      <c r="A4" s="1" t="s">
        <v>61</v>
      </c>
      <c r="B4" s="1" t="s">
        <v>38</v>
      </c>
      <c r="C4" s="1" t="s">
        <v>5</v>
      </c>
      <c r="D4" s="1">
        <v>147.01</v>
      </c>
      <c r="E4" s="22" t="s">
        <v>29</v>
      </c>
      <c r="F4" s="23" t="s">
        <v>31</v>
      </c>
      <c r="G4" s="12" cm="1">
        <f t="array" ref="G4">_xlfn.IFS(Table1[[#This Row],[Stock Unit]]="NA","NA",Table1[[#This Row],[Stock Unit]]="g/mol",Table1[[#This Row],[MW (g/mol)]],Table1[[#This Row],[Stock Unit]]="M",Table1[[#This Row],[Stock Value]],Table1[[#This Row],[Stock Unit]]="mM",Table1[[#This Row],[Stock Value]]/1000,Table1[[#This Row],[Stock Unit]]="%",Table1[[#This Row],[Stock Value]],Table1[[#This Row],[Stock Unit]]="X",Table1[[#This Row],[Stock Value]],Table1[[#This Row],[Stock Unit]]="µM",Table1[[#This Row],[Stock Value]]/1000000,Table1[[#This Row],[Stock Unit]]="mg/mL",Table1[[#This Row],[Stock Value]],TRUE,"!!!")</f>
        <v>147.01</v>
      </c>
      <c r="H4" s="13" t="str" cm="1">
        <f t="array" ref="H4">_xlfn.IFS(Table1[[#This Row],[Stock Unit]]="g/mol","g/mol",Table1[[#This Row],[Stock Unit]]="NA","NA",Table1[[#This Row],[Stock Unit]]="M","M",Table1[[#This Row],[Stock Unit]]="%","%",Table1[[#This Row],[Stock Unit]]="X","X", Table1[[#This Row],[Stock Unit]]="mg/mL", "mg/mL", TRUE,"!!!")</f>
        <v>g/mol</v>
      </c>
      <c r="I4" s="22">
        <v>2.5</v>
      </c>
      <c r="J4" s="25" t="s">
        <v>6</v>
      </c>
      <c r="K4" s="19" cm="1">
        <f t="array" ref="K4">_xlfn.IFS(Table1[[#This Row],[Standard Base Unit]]=Table1[[#This Row],[Target Unit]],Table1[[#This Row],[Standard Stock Value]]/Table1[[#This Row],[Target Value]],
SUBSTITUTE(Table1[[#This Row],[Target Unit]],Table1[[#This Row],[Standard Base Unit]],"")="m",Table1[[#This Row],[Standard Stock Value]]/Table1[[#This Row],[Target Value]]*1000,
SUBSTITUTE(Table1[[#This Row],[Target Unit]],Table1[[#This Row],[Standard Base Unit]],"")="µ",Table1[[#This Row],[Standard Stock Value]]/Table1[[#This Row],[Target Value]]*1000000,
SUBSTITUTE(Table1[[#This Row],[Target Unit]],Table1[[#This Row],[Standard Base Unit]],"")="n",Table1[[#This Row],[Standard Stock Value]]/Table1[[#This Row],[Target Value]]*1000000000,
SUBSTITUTE(Table1[[#This Row],[Target Unit]],Table1[[#This Row],[Standard Base Unit]],"")="p",Table1[[#This Row],[Standard Stock Value]]/Table1[[#This Row],[Target Value]]*1000000000000,
AND(Table1[[#This Row],[Format]]="Powder",Table1[[#This Row],[Target Unit]]="M"),Table1[[#This Row],[Standard Stock Value]]*Table1[[#This Row],[Target Value]],
AND(Table1[[#This Row],[Format]]="Powder",Table1[[#This Row],[Target Unit]]="mM"),Table1[[#This Row],[Standard Stock Value]]*Table1[[#This Row],[Target Value]]/1000,
AND(Table1[[#This Row],[Format]]="Powder",Table1[[#This Row],[Target Unit]]="µM"),Table1[[#This Row],[Standard Stock Value]]*Table1[[#This Row],[Target Value]]/1000000,
AND(Table1[[#This Row],[Format]]="Powder",Table1[[#This Row],[Target Unit]]="% (w/v)"),Table1[[#This Row],[Target Value]]*10,
TRUE, "!!!")</f>
        <v>0.36752499999999999</v>
      </c>
      <c r="L4" s="18" t="str" cm="1">
        <f t="array" ref="L4">_xlfn.IFS(Table1[[#This Row],[Format]]="Powder","g/L",Table1[[#This Row],[Format]]="Liquid",":1 (" &amp; 1000/Table1[[#This Row],[Amount Needed]] &amp;  " mL/L)", TRUE, "!!!")</f>
        <v>g/L</v>
      </c>
    </row>
    <row r="5" spans="1:13" x14ac:dyDescent="0.25">
      <c r="A5" s="1" t="s">
        <v>61</v>
      </c>
      <c r="B5" s="1" t="s">
        <v>39</v>
      </c>
      <c r="C5" s="1" t="s">
        <v>5</v>
      </c>
      <c r="D5" s="1">
        <v>246.48</v>
      </c>
      <c r="E5" s="22" t="s">
        <v>29</v>
      </c>
      <c r="F5" s="23" t="s">
        <v>31</v>
      </c>
      <c r="G5" s="12" cm="1">
        <f t="array" ref="G5">_xlfn.IFS(Table1[[#This Row],[Stock Unit]]="NA","NA",Table1[[#This Row],[Stock Unit]]="g/mol",Table1[[#This Row],[MW (g/mol)]],Table1[[#This Row],[Stock Unit]]="M",Table1[[#This Row],[Stock Value]],Table1[[#This Row],[Stock Unit]]="mM",Table1[[#This Row],[Stock Value]]/1000,Table1[[#This Row],[Stock Unit]]="%",Table1[[#This Row],[Stock Value]],Table1[[#This Row],[Stock Unit]]="X",Table1[[#This Row],[Stock Value]],Table1[[#This Row],[Stock Unit]]="µM",Table1[[#This Row],[Stock Value]]/1000000,Table1[[#This Row],[Stock Unit]]="mg/mL",Table1[[#This Row],[Stock Value]],TRUE,"!!!")</f>
        <v>246.48</v>
      </c>
      <c r="H5" s="13" t="str" cm="1">
        <f t="array" ref="H5">_xlfn.IFS(Table1[[#This Row],[Stock Unit]]="g/mol","g/mol",Table1[[#This Row],[Stock Unit]]="NA","NA",Table1[[#This Row],[Stock Unit]]="M","M",Table1[[#This Row],[Stock Unit]]="%","%",Table1[[#This Row],[Stock Unit]]="X","X", Table1[[#This Row],[Stock Unit]]="mg/mL", "mg/mL", TRUE,"!!!")</f>
        <v>g/mol</v>
      </c>
      <c r="I5" s="22">
        <v>1.2</v>
      </c>
      <c r="J5" s="25" t="s">
        <v>6</v>
      </c>
      <c r="K5" s="19" cm="1">
        <f t="array" ref="K5">_xlfn.IFS(Table1[[#This Row],[Standard Base Unit]]=Table1[[#This Row],[Target Unit]],Table1[[#This Row],[Standard Stock Value]]/Table1[[#This Row],[Target Value]],
SUBSTITUTE(Table1[[#This Row],[Target Unit]],Table1[[#This Row],[Standard Base Unit]],"")="m",Table1[[#This Row],[Standard Stock Value]]/Table1[[#This Row],[Target Value]]*1000,
SUBSTITUTE(Table1[[#This Row],[Target Unit]],Table1[[#This Row],[Standard Base Unit]],"")="µ",Table1[[#This Row],[Standard Stock Value]]/Table1[[#This Row],[Target Value]]*1000000,
SUBSTITUTE(Table1[[#This Row],[Target Unit]],Table1[[#This Row],[Standard Base Unit]],"")="n",Table1[[#This Row],[Standard Stock Value]]/Table1[[#This Row],[Target Value]]*1000000000,
SUBSTITUTE(Table1[[#This Row],[Target Unit]],Table1[[#This Row],[Standard Base Unit]],"")="p",Table1[[#This Row],[Standard Stock Value]]/Table1[[#This Row],[Target Value]]*1000000000000,
AND(Table1[[#This Row],[Format]]="Powder",Table1[[#This Row],[Target Unit]]="M"),Table1[[#This Row],[Standard Stock Value]]*Table1[[#This Row],[Target Value]],
AND(Table1[[#This Row],[Format]]="Powder",Table1[[#This Row],[Target Unit]]="mM"),Table1[[#This Row],[Standard Stock Value]]*Table1[[#This Row],[Target Value]]/1000,
AND(Table1[[#This Row],[Format]]="Powder",Table1[[#This Row],[Target Unit]]="µM"),Table1[[#This Row],[Standard Stock Value]]*Table1[[#This Row],[Target Value]]/1000000,
AND(Table1[[#This Row],[Format]]="Powder",Table1[[#This Row],[Target Unit]]="% (w/v)"),Table1[[#This Row],[Target Value]]*10,
TRUE, "!!!")</f>
        <v>0.29577599999999993</v>
      </c>
      <c r="L5" s="18" t="str" cm="1">
        <f t="array" ref="L5">_xlfn.IFS(Table1[[#This Row],[Format]]="Powder","g/L",Table1[[#This Row],[Format]]="Liquid",":1 (" &amp; 1000/Table1[[#This Row],[Amount Needed]] &amp;  " mL/L)", TRUE, "!!!")</f>
        <v>g/L</v>
      </c>
    </row>
    <row r="6" spans="1:13" x14ac:dyDescent="0.25">
      <c r="A6" s="1" t="s">
        <v>61</v>
      </c>
      <c r="B6" s="1" t="s">
        <v>40</v>
      </c>
      <c r="C6" s="1" t="s">
        <v>5</v>
      </c>
      <c r="D6" s="1">
        <v>84.01</v>
      </c>
      <c r="E6" s="22" t="s">
        <v>29</v>
      </c>
      <c r="F6" s="23" t="s">
        <v>31</v>
      </c>
      <c r="G6" s="12" cm="1">
        <f t="array" ref="G6">_xlfn.IFS(Table1[[#This Row],[Stock Unit]]="NA","NA",Table1[[#This Row],[Stock Unit]]="g/mol",Table1[[#This Row],[MW (g/mol)]],Table1[[#This Row],[Stock Unit]]="M",Table1[[#This Row],[Stock Value]],Table1[[#This Row],[Stock Unit]]="mM",Table1[[#This Row],[Stock Value]]/1000,Table1[[#This Row],[Stock Unit]]="%",Table1[[#This Row],[Stock Value]],Table1[[#This Row],[Stock Unit]]="X",Table1[[#This Row],[Stock Value]],Table1[[#This Row],[Stock Unit]]="µM",Table1[[#This Row],[Stock Value]]/1000000,Table1[[#This Row],[Stock Unit]]="mg/mL",Table1[[#This Row],[Stock Value]],TRUE,"!!!")</f>
        <v>84.01</v>
      </c>
      <c r="H6" s="13" t="str" cm="1">
        <f t="array" ref="H6">_xlfn.IFS(Table1[[#This Row],[Stock Unit]]="g/mol","g/mol",Table1[[#This Row],[Stock Unit]]="NA","NA",Table1[[#This Row],[Stock Unit]]="M","M",Table1[[#This Row],[Stock Unit]]="%","%",Table1[[#This Row],[Stock Unit]]="X","X", Table1[[#This Row],[Stock Unit]]="mg/mL", "mg/mL", TRUE,"!!!")</f>
        <v>g/mol</v>
      </c>
      <c r="I6" s="22">
        <v>24</v>
      </c>
      <c r="J6" s="25" t="s">
        <v>6</v>
      </c>
      <c r="K6" s="19" cm="1">
        <f t="array" ref="K6">_xlfn.IFS(Table1[[#This Row],[Standard Base Unit]]=Table1[[#This Row],[Target Unit]],Table1[[#This Row],[Standard Stock Value]]/Table1[[#This Row],[Target Value]],
SUBSTITUTE(Table1[[#This Row],[Target Unit]],Table1[[#This Row],[Standard Base Unit]],"")="m",Table1[[#This Row],[Standard Stock Value]]/Table1[[#This Row],[Target Value]]*1000,
SUBSTITUTE(Table1[[#This Row],[Target Unit]],Table1[[#This Row],[Standard Base Unit]],"")="µ",Table1[[#This Row],[Standard Stock Value]]/Table1[[#This Row],[Target Value]]*1000000,
SUBSTITUTE(Table1[[#This Row],[Target Unit]],Table1[[#This Row],[Standard Base Unit]],"")="n",Table1[[#This Row],[Standard Stock Value]]/Table1[[#This Row],[Target Value]]*1000000000,
SUBSTITUTE(Table1[[#This Row],[Target Unit]],Table1[[#This Row],[Standard Base Unit]],"")="p",Table1[[#This Row],[Standard Stock Value]]/Table1[[#This Row],[Target Value]]*1000000000000,
AND(Table1[[#This Row],[Format]]="Powder",Table1[[#This Row],[Target Unit]]="M"),Table1[[#This Row],[Standard Stock Value]]*Table1[[#This Row],[Target Value]],
AND(Table1[[#This Row],[Format]]="Powder",Table1[[#This Row],[Target Unit]]="mM"),Table1[[#This Row],[Standard Stock Value]]*Table1[[#This Row],[Target Value]]/1000,
AND(Table1[[#This Row],[Format]]="Powder",Table1[[#This Row],[Target Unit]]="µM"),Table1[[#This Row],[Standard Stock Value]]*Table1[[#This Row],[Target Value]]/1000000,
AND(Table1[[#This Row],[Format]]="Powder",Table1[[#This Row],[Target Unit]]="% (w/v)"),Table1[[#This Row],[Target Value]]*10,
TRUE, "!!!")</f>
        <v>2.0162400000000003</v>
      </c>
      <c r="L6" s="18" t="str" cm="1">
        <f t="array" ref="L6">_xlfn.IFS(Table1[[#This Row],[Format]]="Powder","g/L",Table1[[#This Row],[Format]]="Liquid",":1 (" &amp; 1000/Table1[[#This Row],[Amount Needed]] &amp;  " mL/L)", TRUE, "!!!")</f>
        <v>g/L</v>
      </c>
    </row>
    <row r="7" spans="1:13" x14ac:dyDescent="0.25">
      <c r="A7" s="1" t="s">
        <v>61</v>
      </c>
      <c r="B7" s="1" t="s">
        <v>41</v>
      </c>
      <c r="C7" s="1" t="s">
        <v>5</v>
      </c>
      <c r="D7" s="1">
        <v>136.09</v>
      </c>
      <c r="E7" s="22" t="s">
        <v>29</v>
      </c>
      <c r="F7" s="23" t="s">
        <v>31</v>
      </c>
      <c r="G7" s="12" cm="1">
        <f t="array" ref="G7">_xlfn.IFS(Table1[[#This Row],[Stock Unit]]="NA","NA",Table1[[#This Row],[Stock Unit]]="g/mol",Table1[[#This Row],[MW (g/mol)]],Table1[[#This Row],[Stock Unit]]="M",Table1[[#This Row],[Stock Value]],Table1[[#This Row],[Stock Unit]]="mM",Table1[[#This Row],[Stock Value]]/1000,Table1[[#This Row],[Stock Unit]]="%",Table1[[#This Row],[Stock Value]],Table1[[#This Row],[Stock Unit]]="X",Table1[[#This Row],[Stock Value]],Table1[[#This Row],[Stock Unit]]="µM",Table1[[#This Row],[Stock Value]]/1000000,Table1[[#This Row],[Stock Unit]]="mg/mL",Table1[[#This Row],[Stock Value]],TRUE,"!!!")</f>
        <v>136.09</v>
      </c>
      <c r="H7" s="13" t="str" cm="1">
        <f t="array" ref="H7">_xlfn.IFS(Table1[[#This Row],[Stock Unit]]="g/mol","g/mol",Table1[[#This Row],[Stock Unit]]="NA","NA",Table1[[#This Row],[Stock Unit]]="M","M",Table1[[#This Row],[Stock Unit]]="%","%",Table1[[#This Row],[Stock Unit]]="X","X", Table1[[#This Row],[Stock Unit]]="mg/mL", "mg/mL", TRUE,"!!!")</f>
        <v>g/mol</v>
      </c>
      <c r="I7" s="22">
        <v>1.2</v>
      </c>
      <c r="J7" s="25" t="s">
        <v>6</v>
      </c>
      <c r="K7" s="19" cm="1">
        <f t="array" ref="K7">_xlfn.IFS(Table1[[#This Row],[Standard Base Unit]]=Table1[[#This Row],[Target Unit]],Table1[[#This Row],[Standard Stock Value]]/Table1[[#This Row],[Target Value]],
SUBSTITUTE(Table1[[#This Row],[Target Unit]],Table1[[#This Row],[Standard Base Unit]],"")="m",Table1[[#This Row],[Standard Stock Value]]/Table1[[#This Row],[Target Value]]*1000,
SUBSTITUTE(Table1[[#This Row],[Target Unit]],Table1[[#This Row],[Standard Base Unit]],"")="µ",Table1[[#This Row],[Standard Stock Value]]/Table1[[#This Row],[Target Value]]*1000000,
SUBSTITUTE(Table1[[#This Row],[Target Unit]],Table1[[#This Row],[Standard Base Unit]],"")="n",Table1[[#This Row],[Standard Stock Value]]/Table1[[#This Row],[Target Value]]*1000000000,
SUBSTITUTE(Table1[[#This Row],[Target Unit]],Table1[[#This Row],[Standard Base Unit]],"")="p",Table1[[#This Row],[Standard Stock Value]]/Table1[[#This Row],[Target Value]]*1000000000000,
AND(Table1[[#This Row],[Format]]="Powder",Table1[[#This Row],[Target Unit]]="M"),Table1[[#This Row],[Standard Stock Value]]*Table1[[#This Row],[Target Value]],
AND(Table1[[#This Row],[Format]]="Powder",Table1[[#This Row],[Target Unit]]="mM"),Table1[[#This Row],[Standard Stock Value]]*Table1[[#This Row],[Target Value]]/1000,
AND(Table1[[#This Row],[Format]]="Powder",Table1[[#This Row],[Target Unit]]="µM"),Table1[[#This Row],[Standard Stock Value]]*Table1[[#This Row],[Target Value]]/1000000,
AND(Table1[[#This Row],[Format]]="Powder",Table1[[#This Row],[Target Unit]]="% (w/v)"),Table1[[#This Row],[Target Value]]*10,
TRUE, "!!!")</f>
        <v>0.16330799999999998</v>
      </c>
      <c r="L7" s="18" t="str" cm="1">
        <f t="array" ref="L7">_xlfn.IFS(Table1[[#This Row],[Format]]="Powder","g/L",Table1[[#This Row],[Format]]="Liquid",":1 (" &amp; 1000/Table1[[#This Row],[Amount Needed]] &amp;  " mL/L)", TRUE, "!!!")</f>
        <v>g/L</v>
      </c>
    </row>
    <row r="8" spans="1:13" x14ac:dyDescent="0.25">
      <c r="A8" s="1" t="s">
        <v>61</v>
      </c>
      <c r="B8" s="1" t="s">
        <v>42</v>
      </c>
      <c r="C8" s="1" t="s">
        <v>5</v>
      </c>
      <c r="D8" s="1">
        <v>180.16</v>
      </c>
      <c r="E8" s="22" t="s">
        <v>29</v>
      </c>
      <c r="F8" s="23" t="s">
        <v>31</v>
      </c>
      <c r="G8" s="12" cm="1">
        <f t="array" ref="G8">_xlfn.IFS(Table1[[#This Row],[Stock Unit]]="NA","NA",Table1[[#This Row],[Stock Unit]]="g/mol",Table1[[#This Row],[MW (g/mol)]],Table1[[#This Row],[Stock Unit]]="M",Table1[[#This Row],[Stock Value]],Table1[[#This Row],[Stock Unit]]="mM",Table1[[#This Row],[Stock Value]]/1000,Table1[[#This Row],[Stock Unit]]="%",Table1[[#This Row],[Stock Value]],Table1[[#This Row],[Stock Unit]]="X",Table1[[#This Row],[Stock Value]],Table1[[#This Row],[Stock Unit]]="µM",Table1[[#This Row],[Stock Value]]/1000000,Table1[[#This Row],[Stock Unit]]="mg/mL",Table1[[#This Row],[Stock Value]],TRUE,"!!!")</f>
        <v>180.16</v>
      </c>
      <c r="H8" s="13" t="str" cm="1">
        <f t="array" ref="H8">_xlfn.IFS(Table1[[#This Row],[Stock Unit]]="g/mol","g/mol",Table1[[#This Row],[Stock Unit]]="NA","NA",Table1[[#This Row],[Stock Unit]]="M","M",Table1[[#This Row],[Stock Unit]]="%","%",Table1[[#This Row],[Stock Unit]]="X","X", Table1[[#This Row],[Stock Unit]]="mg/mL", "mg/mL", TRUE,"!!!")</f>
        <v>g/mol</v>
      </c>
      <c r="I8" s="22">
        <v>11</v>
      </c>
      <c r="J8" s="25" t="s">
        <v>6</v>
      </c>
      <c r="K8" s="19" cm="1">
        <f t="array" ref="K8">_xlfn.IFS(Table1[[#This Row],[Standard Base Unit]]=Table1[[#This Row],[Target Unit]],Table1[[#This Row],[Standard Stock Value]]/Table1[[#This Row],[Target Value]],
SUBSTITUTE(Table1[[#This Row],[Target Unit]],Table1[[#This Row],[Standard Base Unit]],"")="m",Table1[[#This Row],[Standard Stock Value]]/Table1[[#This Row],[Target Value]]*1000,
SUBSTITUTE(Table1[[#This Row],[Target Unit]],Table1[[#This Row],[Standard Base Unit]],"")="µ",Table1[[#This Row],[Standard Stock Value]]/Table1[[#This Row],[Target Value]]*1000000,
SUBSTITUTE(Table1[[#This Row],[Target Unit]],Table1[[#This Row],[Standard Base Unit]],"")="n",Table1[[#This Row],[Standard Stock Value]]/Table1[[#This Row],[Target Value]]*1000000000,
SUBSTITUTE(Table1[[#This Row],[Target Unit]],Table1[[#This Row],[Standard Base Unit]],"")="p",Table1[[#This Row],[Standard Stock Value]]/Table1[[#This Row],[Target Value]]*1000000000000,
AND(Table1[[#This Row],[Format]]="Powder",Table1[[#This Row],[Target Unit]]="M"),Table1[[#This Row],[Standard Stock Value]]*Table1[[#This Row],[Target Value]],
AND(Table1[[#This Row],[Format]]="Powder",Table1[[#This Row],[Target Unit]]="mM"),Table1[[#This Row],[Standard Stock Value]]*Table1[[#This Row],[Target Value]]/1000,
AND(Table1[[#This Row],[Format]]="Powder",Table1[[#This Row],[Target Unit]]="µM"),Table1[[#This Row],[Standard Stock Value]]*Table1[[#This Row],[Target Value]]/1000000,
AND(Table1[[#This Row],[Format]]="Powder",Table1[[#This Row],[Target Unit]]="% (w/v)"),Table1[[#This Row],[Target Value]]*10,
TRUE, "!!!")</f>
        <v>1.98176</v>
      </c>
      <c r="L8" s="18" t="str" cm="1">
        <f t="array" ref="L8">_xlfn.IFS(Table1[[#This Row],[Format]]="Powder","g/L",Table1[[#This Row],[Format]]="Liquid",":1 (" &amp; 1000/Table1[[#This Row],[Amount Needed]] &amp;  " mL/L)", TRUE, "!!!")</f>
        <v>g/L</v>
      </c>
    </row>
    <row r="9" spans="1:13" x14ac:dyDescent="0.25">
      <c r="A9" s="1" t="s">
        <v>61</v>
      </c>
      <c r="B9" s="1" t="s">
        <v>49</v>
      </c>
      <c r="C9" s="1" t="s">
        <v>5</v>
      </c>
      <c r="D9" s="1">
        <v>292.24</v>
      </c>
      <c r="E9" s="22" t="s">
        <v>29</v>
      </c>
      <c r="F9" s="23" t="s">
        <v>31</v>
      </c>
      <c r="G9" s="12" cm="1">
        <f t="array" ref="G9">_xlfn.IFS(Table1[[#This Row],[Stock Unit]]="NA","NA",Table1[[#This Row],[Stock Unit]]="g/mol",Table1[[#This Row],[MW (g/mol)]],Table1[[#This Row],[Stock Unit]]="M",Table1[[#This Row],[Stock Value]],Table1[[#This Row],[Stock Unit]]="mM",Table1[[#This Row],[Stock Value]]/1000,Table1[[#This Row],[Stock Unit]]="%",Table1[[#This Row],[Stock Value]],Table1[[#This Row],[Stock Unit]]="X",Table1[[#This Row],[Stock Value]],Table1[[#This Row],[Stock Unit]]="µM",Table1[[#This Row],[Stock Value]]/1000000,Table1[[#This Row],[Stock Unit]]="mg/mL",Table1[[#This Row],[Stock Value]],TRUE,"!!!")</f>
        <v>292.24</v>
      </c>
      <c r="H9" s="13" t="str" cm="1">
        <f t="array" ref="H9">_xlfn.IFS(Table1[[#This Row],[Stock Unit]]="g/mol","g/mol",Table1[[#This Row],[Stock Unit]]="NA","NA",Table1[[#This Row],[Stock Unit]]="M","M",Table1[[#This Row],[Stock Unit]]="%","%",Table1[[#This Row],[Stock Unit]]="X","X", Table1[[#This Row],[Stock Unit]]="mg/mL", "mg/mL", TRUE,"!!!")</f>
        <v>g/mol</v>
      </c>
      <c r="I9" s="22">
        <v>0.5</v>
      </c>
      <c r="J9" s="25" t="s">
        <v>6</v>
      </c>
      <c r="K9" s="19" cm="1">
        <f t="array" ref="K9">_xlfn.IFS(Table1[[#This Row],[Standard Base Unit]]=Table1[[#This Row],[Target Unit]],Table1[[#This Row],[Standard Stock Value]]/Table1[[#This Row],[Target Value]],
SUBSTITUTE(Table1[[#This Row],[Target Unit]],Table1[[#This Row],[Standard Base Unit]],"")="m",Table1[[#This Row],[Standard Stock Value]]/Table1[[#This Row],[Target Value]]*1000,
SUBSTITUTE(Table1[[#This Row],[Target Unit]],Table1[[#This Row],[Standard Base Unit]],"")="µ",Table1[[#This Row],[Standard Stock Value]]/Table1[[#This Row],[Target Value]]*1000000,
SUBSTITUTE(Table1[[#This Row],[Target Unit]],Table1[[#This Row],[Standard Base Unit]],"")="n",Table1[[#This Row],[Standard Stock Value]]/Table1[[#This Row],[Target Value]]*1000000000,
SUBSTITUTE(Table1[[#This Row],[Target Unit]],Table1[[#This Row],[Standard Base Unit]],"")="p",Table1[[#This Row],[Standard Stock Value]]/Table1[[#This Row],[Target Value]]*1000000000000,
AND(Table1[[#This Row],[Format]]="Powder",Table1[[#This Row],[Target Unit]]="M"),Table1[[#This Row],[Standard Stock Value]]*Table1[[#This Row],[Target Value]],
AND(Table1[[#This Row],[Format]]="Powder",Table1[[#This Row],[Target Unit]]="mM"),Table1[[#This Row],[Standard Stock Value]]*Table1[[#This Row],[Target Value]]/1000,
AND(Table1[[#This Row],[Format]]="Powder",Table1[[#This Row],[Target Unit]]="µM"),Table1[[#This Row],[Standard Stock Value]]*Table1[[#This Row],[Target Value]]/1000000,
AND(Table1[[#This Row],[Format]]="Powder",Table1[[#This Row],[Target Unit]]="% (w/v)"),Table1[[#This Row],[Target Value]]*10,
TRUE, "!!!")</f>
        <v>0.14612</v>
      </c>
      <c r="L9" s="18" t="str" cm="1">
        <f t="array" ref="L9">_xlfn.IFS(Table1[[#This Row],[Format]]="Powder","g/L",Table1[[#This Row],[Format]]="Liquid",":1 (" &amp; 1000/Table1[[#This Row],[Amount Needed]] &amp;  " mL/L)", TRUE, "!!!")</f>
        <v>g/L</v>
      </c>
    </row>
    <row r="10" spans="1:13" x14ac:dyDescent="0.25">
      <c r="A10" s="1" t="s">
        <v>64</v>
      </c>
      <c r="B10" s="1" t="s">
        <v>57</v>
      </c>
      <c r="C10" s="1" t="s">
        <v>8</v>
      </c>
      <c r="D10" s="1">
        <v>157.6</v>
      </c>
      <c r="E10" s="22">
        <v>1</v>
      </c>
      <c r="F10" s="23" t="s">
        <v>9</v>
      </c>
      <c r="G10" s="12" cm="1">
        <f t="array" ref="G10">_xlfn.IFS(Table1[[#This Row],[Stock Unit]]="NA","NA",Table1[[#This Row],[Stock Unit]]="g/mol",Table1[[#This Row],[MW (g/mol)]],Table1[[#This Row],[Stock Unit]]="M",Table1[[#This Row],[Stock Value]],Table1[[#This Row],[Stock Unit]]="mM",Table1[[#This Row],[Stock Value]]/1000,Table1[[#This Row],[Stock Unit]]="%",Table1[[#This Row],[Stock Value]],Table1[[#This Row],[Stock Unit]]="X",Table1[[#This Row],[Stock Value]],Table1[[#This Row],[Stock Unit]]="µM",Table1[[#This Row],[Stock Value]]/1000000,Table1[[#This Row],[Stock Unit]]="mg/mL",Table1[[#This Row],[Stock Value]],TRUE,"!!!")</f>
        <v>1</v>
      </c>
      <c r="H10" s="13" t="str" cm="1">
        <f t="array" ref="H10">_xlfn.IFS(Table1[[#This Row],[Stock Unit]]="g/mol","g/mol",Table1[[#This Row],[Stock Unit]]="NA","NA",Table1[[#This Row],[Stock Unit]]="M","M",Table1[[#This Row],[Stock Unit]]="%","%",Table1[[#This Row],[Stock Unit]]="X","X", Table1[[#This Row],[Stock Unit]]="mg/mL", "mg/mL", TRUE,"!!!")</f>
        <v>M</v>
      </c>
      <c r="I10" s="22">
        <v>0.5</v>
      </c>
      <c r="J10" s="25" t="s">
        <v>9</v>
      </c>
      <c r="K10" s="17" cm="1">
        <f t="array" ref="K10">_xlfn.IFS(Table1[[#This Row],[Standard Base Unit]]=Table1[[#This Row],[Target Unit]],Table1[[#This Row],[Standard Stock Value]]/Table1[[#This Row],[Target Value]],
SUBSTITUTE(Table1[[#This Row],[Target Unit]],Table1[[#This Row],[Standard Base Unit]],"")="m",Table1[[#This Row],[Standard Stock Value]]/Table1[[#This Row],[Target Value]]*1000,
SUBSTITUTE(Table1[[#This Row],[Target Unit]],Table1[[#This Row],[Standard Base Unit]],"")="µ",Table1[[#This Row],[Standard Stock Value]]/Table1[[#This Row],[Target Value]]*1000000,
SUBSTITUTE(Table1[[#This Row],[Target Unit]],Table1[[#This Row],[Standard Base Unit]],"")="n",Table1[[#This Row],[Standard Stock Value]]/Table1[[#This Row],[Target Value]]*1000000000,
SUBSTITUTE(Table1[[#This Row],[Target Unit]],Table1[[#This Row],[Standard Base Unit]],"")="p",Table1[[#This Row],[Standard Stock Value]]/Table1[[#This Row],[Target Value]]*1000000000000,
AND(Table1[[#This Row],[Format]]="Powder",Table1[[#This Row],[Target Unit]]="M"),Table1[[#This Row],[Standard Stock Value]]*Table1[[#This Row],[Target Value]],
AND(Table1[[#This Row],[Format]]="Powder",Table1[[#This Row],[Target Unit]]="mM"),Table1[[#This Row],[Standard Stock Value]]*Table1[[#This Row],[Target Value]]/1000,
AND(Table1[[#This Row],[Format]]="Powder",Table1[[#This Row],[Target Unit]]="µM"),Table1[[#This Row],[Standard Stock Value]]*Table1[[#This Row],[Target Value]]/1000000,
AND(Table1[[#This Row],[Format]]="Powder",Table1[[#This Row],[Target Unit]]="% (w/v)"),Table1[[#This Row],[Target Value]]*10,
TRUE, "!!!")</f>
        <v>2</v>
      </c>
      <c r="L10" s="18" t="str" cm="1">
        <f t="array" ref="L10">_xlfn.IFS(Table1[[#This Row],[Format]]="Powder","g/L",Table1[[#This Row],[Format]]="Liquid",":1 (" &amp; 1000/Table1[[#This Row],[Amount Needed]] &amp;  " mL/L)", TRUE, "!!!")</f>
        <v>:1 (500 mL/L)</v>
      </c>
    </row>
    <row r="11" spans="1:13" x14ac:dyDescent="0.25">
      <c r="A11" s="1" t="s">
        <v>64</v>
      </c>
      <c r="B11" s="1" t="s">
        <v>43</v>
      </c>
      <c r="C11" s="1" t="s">
        <v>8</v>
      </c>
      <c r="D11" s="1">
        <v>58.44</v>
      </c>
      <c r="E11" s="22">
        <v>5</v>
      </c>
      <c r="F11" s="23" t="s">
        <v>9</v>
      </c>
      <c r="G11" s="12" cm="1">
        <f t="array" ref="G11">_xlfn.IFS(Table1[[#This Row],[Stock Unit]]="NA","NA",Table1[[#This Row],[Stock Unit]]="g/mol",Table1[[#This Row],[MW (g/mol)]],Table1[[#This Row],[Stock Unit]]="M",Table1[[#This Row],[Stock Value]],Table1[[#This Row],[Stock Unit]]="mM",Table1[[#This Row],[Stock Value]]/1000,Table1[[#This Row],[Stock Unit]]="%",Table1[[#This Row],[Stock Value]],Table1[[#This Row],[Stock Unit]]="X",Table1[[#This Row],[Stock Value]],Table1[[#This Row],[Stock Unit]]="µM",Table1[[#This Row],[Stock Value]]/1000000,Table1[[#This Row],[Stock Unit]]="mg/mL",Table1[[#This Row],[Stock Value]],TRUE,"!!!")</f>
        <v>5</v>
      </c>
      <c r="H11" s="13" t="str" cm="1">
        <f t="array" ref="H11">_xlfn.IFS(Table1[[#This Row],[Stock Unit]]="g/mol","g/mol",Table1[[#This Row],[Stock Unit]]="NA","NA",Table1[[#This Row],[Stock Unit]]="M","M",Table1[[#This Row],[Stock Unit]]="%","%",Table1[[#This Row],[Stock Unit]]="X","X", Table1[[#This Row],[Stock Unit]]="mg/mL", "mg/mL", TRUE,"!!!")</f>
        <v>M</v>
      </c>
      <c r="I11" s="22">
        <v>1.5</v>
      </c>
      <c r="J11" s="25" t="s">
        <v>9</v>
      </c>
      <c r="K11" s="17" cm="1">
        <f t="array" ref="K11">_xlfn.IFS(Table1[[#This Row],[Standard Base Unit]]=Table1[[#This Row],[Target Unit]],Table1[[#This Row],[Standard Stock Value]]/Table1[[#This Row],[Target Value]],
SUBSTITUTE(Table1[[#This Row],[Target Unit]],Table1[[#This Row],[Standard Base Unit]],"")="m",Table1[[#This Row],[Standard Stock Value]]/Table1[[#This Row],[Target Value]]*1000,
SUBSTITUTE(Table1[[#This Row],[Target Unit]],Table1[[#This Row],[Standard Base Unit]],"")="µ",Table1[[#This Row],[Standard Stock Value]]/Table1[[#This Row],[Target Value]]*1000000,
SUBSTITUTE(Table1[[#This Row],[Target Unit]],Table1[[#This Row],[Standard Base Unit]],"")="n",Table1[[#This Row],[Standard Stock Value]]/Table1[[#This Row],[Target Value]]*1000000000,
SUBSTITUTE(Table1[[#This Row],[Target Unit]],Table1[[#This Row],[Standard Base Unit]],"")="p",Table1[[#This Row],[Standard Stock Value]]/Table1[[#This Row],[Target Value]]*1000000000000,
AND(Table1[[#This Row],[Format]]="Powder",Table1[[#This Row],[Target Unit]]="M"),Table1[[#This Row],[Standard Stock Value]]*Table1[[#This Row],[Target Value]],
AND(Table1[[#This Row],[Format]]="Powder",Table1[[#This Row],[Target Unit]]="mM"),Table1[[#This Row],[Standard Stock Value]]*Table1[[#This Row],[Target Value]]/1000,
AND(Table1[[#This Row],[Format]]="Powder",Table1[[#This Row],[Target Unit]]="µM"),Table1[[#This Row],[Standard Stock Value]]*Table1[[#This Row],[Target Value]]/1000000,
AND(Table1[[#This Row],[Format]]="Powder",Table1[[#This Row],[Target Unit]]="% (w/v)"),Table1[[#This Row],[Target Value]]*10,
TRUE, "!!!")</f>
        <v>3.3333333333333335</v>
      </c>
      <c r="L11" s="18" t="str" cm="1">
        <f t="array" ref="L11">_xlfn.IFS(Table1[[#This Row],[Format]]="Powder","g/L",Table1[[#This Row],[Format]]="Liquid",":1 (" &amp; 1000/Table1[[#This Row],[Amount Needed]] &amp;  " mL/L)", TRUE, "!!!")</f>
        <v>:1 (300 mL/L)</v>
      </c>
    </row>
    <row r="12" spans="1:13" x14ac:dyDescent="0.25">
      <c r="A12" s="1" t="s">
        <v>64</v>
      </c>
      <c r="B12" s="1" t="s">
        <v>58</v>
      </c>
      <c r="C12" s="1" t="s">
        <v>8</v>
      </c>
      <c r="D12" s="1" t="s">
        <v>29</v>
      </c>
      <c r="E12" s="22">
        <v>100</v>
      </c>
      <c r="F12" s="23" t="s">
        <v>13</v>
      </c>
      <c r="G12" s="12" cm="1">
        <f t="array" ref="G12">_xlfn.IFS(Table1[[#This Row],[Stock Unit]]="NA","NA",Table1[[#This Row],[Stock Unit]]="g/mol",Table1[[#This Row],[MW (g/mol)]],Table1[[#This Row],[Stock Unit]]="M",Table1[[#This Row],[Stock Value]],Table1[[#This Row],[Stock Unit]]="mM",Table1[[#This Row],[Stock Value]]/1000,Table1[[#This Row],[Stock Unit]]="%",Table1[[#This Row],[Stock Value]],Table1[[#This Row],[Stock Unit]]="X",Table1[[#This Row],[Stock Value]],Table1[[#This Row],[Stock Unit]]="µM",Table1[[#This Row],[Stock Value]]/1000000,Table1[[#This Row],[Stock Unit]]="mg/mL",Table1[[#This Row],[Stock Value]],TRUE,"!!!")</f>
        <v>100</v>
      </c>
      <c r="H12" s="13" t="str" cm="1">
        <f t="array" ref="H12">_xlfn.IFS(Table1[[#This Row],[Stock Unit]]="g/mol","g/mol",Table1[[#This Row],[Stock Unit]]="NA","NA",Table1[[#This Row],[Stock Unit]]="M","M",Table1[[#This Row],[Stock Unit]]="%","%",Table1[[#This Row],[Stock Unit]]="X","X", Table1[[#This Row],[Stock Unit]]="mg/mL", "mg/mL", TRUE,"!!!")</f>
        <v>%</v>
      </c>
      <c r="I12" s="22">
        <v>1</v>
      </c>
      <c r="J12" s="25" t="s">
        <v>13</v>
      </c>
      <c r="K12" s="17" cm="1">
        <f t="array" ref="K12">_xlfn.IFS(Table1[[#This Row],[Standard Base Unit]]=Table1[[#This Row],[Target Unit]],Table1[[#This Row],[Standard Stock Value]]/Table1[[#This Row],[Target Value]],
SUBSTITUTE(Table1[[#This Row],[Target Unit]],Table1[[#This Row],[Standard Base Unit]],"")="m",Table1[[#This Row],[Standard Stock Value]]/Table1[[#This Row],[Target Value]]*1000,
SUBSTITUTE(Table1[[#This Row],[Target Unit]],Table1[[#This Row],[Standard Base Unit]],"")="µ",Table1[[#This Row],[Standard Stock Value]]/Table1[[#This Row],[Target Value]]*1000000,
SUBSTITUTE(Table1[[#This Row],[Target Unit]],Table1[[#This Row],[Standard Base Unit]],"")="n",Table1[[#This Row],[Standard Stock Value]]/Table1[[#This Row],[Target Value]]*1000000000,
SUBSTITUTE(Table1[[#This Row],[Target Unit]],Table1[[#This Row],[Standard Base Unit]],"")="p",Table1[[#This Row],[Standard Stock Value]]/Table1[[#This Row],[Target Value]]*1000000000000,
AND(Table1[[#This Row],[Format]]="Powder",Table1[[#This Row],[Target Unit]]="M"),Table1[[#This Row],[Standard Stock Value]]*Table1[[#This Row],[Target Value]],
AND(Table1[[#This Row],[Format]]="Powder",Table1[[#This Row],[Target Unit]]="mM"),Table1[[#This Row],[Standard Stock Value]]*Table1[[#This Row],[Target Value]]/1000,
AND(Table1[[#This Row],[Format]]="Powder",Table1[[#This Row],[Target Unit]]="µM"),Table1[[#This Row],[Standard Stock Value]]*Table1[[#This Row],[Target Value]]/1000000,
AND(Table1[[#This Row],[Format]]="Powder",Table1[[#This Row],[Target Unit]]="% (w/v)"),Table1[[#This Row],[Target Value]]*10,
TRUE, "!!!")</f>
        <v>100</v>
      </c>
      <c r="L12" s="18" t="str" cm="1">
        <f t="array" ref="L12">_xlfn.IFS(Table1[[#This Row],[Format]]="Powder","g/L",Table1[[#This Row],[Format]]="Liquid",":1 (" &amp; 1000/Table1[[#This Row],[Amount Needed]] &amp;  " mL/L)", TRUE, "!!!")</f>
        <v>:1 (10 mL/L)</v>
      </c>
    </row>
    <row r="13" spans="1:13" x14ac:dyDescent="0.25">
      <c r="A13" s="1" t="s">
        <v>63</v>
      </c>
      <c r="B13" s="1" t="s">
        <v>7</v>
      </c>
      <c r="C13" s="1" t="s">
        <v>8</v>
      </c>
      <c r="D13" s="1">
        <v>157.6</v>
      </c>
      <c r="E13" s="22">
        <v>1</v>
      </c>
      <c r="F13" s="23" t="s">
        <v>9</v>
      </c>
      <c r="G13" s="10" cm="1">
        <f t="array" ref="G13">_xlfn.IFS(Table1[[#This Row],[Stock Unit]]="NA","NA",Table1[[#This Row],[Stock Unit]]="g/mol",Table1[[#This Row],[MW (g/mol)]],Table1[[#This Row],[Stock Unit]]="M",Table1[[#This Row],[Stock Value]],Table1[[#This Row],[Stock Unit]]="mM",Table1[[#This Row],[Stock Value]]/1000,Table1[[#This Row],[Stock Unit]]="%",Table1[[#This Row],[Stock Value]],Table1[[#This Row],[Stock Unit]]="X",Table1[[#This Row],[Stock Value]],Table1[[#This Row],[Stock Unit]]="µM",Table1[[#This Row],[Stock Value]]/1000000,Table1[[#This Row],[Stock Unit]]="mg/mL",Table1[[#This Row],[Stock Value]],TRUE,"!!!")</f>
        <v>1</v>
      </c>
      <c r="H13" s="11" t="str" cm="1">
        <f t="array" ref="H13">_xlfn.IFS(Table1[[#This Row],[Stock Unit]]="g/mol","g/mol",Table1[[#This Row],[Stock Unit]]="NA","NA",Table1[[#This Row],[Stock Unit]]="M","M",Table1[[#This Row],[Stock Unit]]="%","%",Table1[[#This Row],[Stock Unit]]="X","X", Table1[[#This Row],[Stock Unit]]="mg/mL", "mg/mL", TRUE,"!!!")</f>
        <v>M</v>
      </c>
      <c r="I13" s="22">
        <v>100</v>
      </c>
      <c r="J13" s="25" t="s">
        <v>6</v>
      </c>
      <c r="K13" s="14" cm="1">
        <f t="array" ref="K13">_xlfn.IFS(Table1[[#This Row],[Standard Base Unit]]=Table1[[#This Row],[Target Unit]],Table1[[#This Row],[Standard Stock Value]]/Table1[[#This Row],[Target Value]],
SUBSTITUTE(Table1[[#This Row],[Target Unit]],Table1[[#This Row],[Standard Base Unit]],"")="m",Table1[[#This Row],[Standard Stock Value]]/Table1[[#This Row],[Target Value]]*1000,
SUBSTITUTE(Table1[[#This Row],[Target Unit]],Table1[[#This Row],[Standard Base Unit]],"")="µ",Table1[[#This Row],[Standard Stock Value]]/Table1[[#This Row],[Target Value]]*1000000,
SUBSTITUTE(Table1[[#This Row],[Target Unit]],Table1[[#This Row],[Standard Base Unit]],"")="n",Table1[[#This Row],[Standard Stock Value]]/Table1[[#This Row],[Target Value]]*1000000000,
SUBSTITUTE(Table1[[#This Row],[Target Unit]],Table1[[#This Row],[Standard Base Unit]],"")="p",Table1[[#This Row],[Standard Stock Value]]/Table1[[#This Row],[Target Value]]*1000000000000,
AND(Table1[[#This Row],[Format]]="Powder",Table1[[#This Row],[Target Unit]]="M"),Table1[[#This Row],[Standard Stock Value]]*Table1[[#This Row],[Target Value]],
AND(Table1[[#This Row],[Format]]="Powder",Table1[[#This Row],[Target Unit]]="mM"),Table1[[#This Row],[Standard Stock Value]]*Table1[[#This Row],[Target Value]]/1000,
AND(Table1[[#This Row],[Format]]="Powder",Table1[[#This Row],[Target Unit]]="µM"),Table1[[#This Row],[Standard Stock Value]]*Table1[[#This Row],[Target Value]]/1000000,
AND(Table1[[#This Row],[Format]]="Powder",Table1[[#This Row],[Target Unit]]="% (w/v)"),Table1[[#This Row],[Target Value]]*10,
TRUE, "!!!")</f>
        <v>10</v>
      </c>
      <c r="L13" s="15" t="str" cm="1">
        <f t="array" ref="L13">_xlfn.IFS(Table1[[#This Row],[Format]]="Powder","g/L",Table1[[#This Row],[Format]]="Liquid",":1 (" &amp; 1000/Table1[[#This Row],[Amount Needed]] &amp;  " mL/L)", TRUE, "!!!")</f>
        <v>:1 (100 mL/L)</v>
      </c>
    </row>
    <row r="14" spans="1:13" x14ac:dyDescent="0.25">
      <c r="A14" s="1" t="s">
        <v>63</v>
      </c>
      <c r="B14" s="1" t="s">
        <v>43</v>
      </c>
      <c r="C14" s="1" t="s">
        <v>8</v>
      </c>
      <c r="D14" s="1">
        <v>58.44</v>
      </c>
      <c r="E14" s="22">
        <v>5</v>
      </c>
      <c r="F14" s="23" t="s">
        <v>9</v>
      </c>
      <c r="G14" s="12" cm="1">
        <f t="array" ref="G14">_xlfn.IFS(Table1[[#This Row],[Stock Unit]]="NA","NA",Table1[[#This Row],[Stock Unit]]="g/mol",Table1[[#This Row],[MW (g/mol)]],Table1[[#This Row],[Stock Unit]]="M",Table1[[#This Row],[Stock Value]],Table1[[#This Row],[Stock Unit]]="mM",Table1[[#This Row],[Stock Value]]/1000,Table1[[#This Row],[Stock Unit]]="%",Table1[[#This Row],[Stock Value]],Table1[[#This Row],[Stock Unit]]="X",Table1[[#This Row],[Stock Value]],Table1[[#This Row],[Stock Unit]]="µM",Table1[[#This Row],[Stock Value]]/1000000,Table1[[#This Row],[Stock Unit]]="mg/mL",Table1[[#This Row],[Stock Value]],TRUE,"!!!")</f>
        <v>5</v>
      </c>
      <c r="H14" s="13" t="str" cm="1">
        <f t="array" ref="H14">_xlfn.IFS(Table1[[#This Row],[Stock Unit]]="g/mol","g/mol",Table1[[#This Row],[Stock Unit]]="NA","NA",Table1[[#This Row],[Stock Unit]]="M","M",Table1[[#This Row],[Stock Unit]]="%","%",Table1[[#This Row],[Stock Unit]]="X","X", Table1[[#This Row],[Stock Unit]]="mg/mL", "mg/mL", TRUE,"!!!")</f>
        <v>M</v>
      </c>
      <c r="I14" s="26">
        <v>300</v>
      </c>
      <c r="J14" s="27" t="s">
        <v>6</v>
      </c>
      <c r="K14" s="20" cm="1">
        <f t="array" ref="K14">_xlfn.IFS(Table1[[#This Row],[Standard Base Unit]]=Table1[[#This Row],[Target Unit]],Table1[[#This Row],[Standard Stock Value]]/Table1[[#This Row],[Target Value]],
SUBSTITUTE(Table1[[#This Row],[Target Unit]],Table1[[#This Row],[Standard Base Unit]],"")="m",Table1[[#This Row],[Standard Stock Value]]/Table1[[#This Row],[Target Value]]*1000,
SUBSTITUTE(Table1[[#This Row],[Target Unit]],Table1[[#This Row],[Standard Base Unit]],"")="µ",Table1[[#This Row],[Standard Stock Value]]/Table1[[#This Row],[Target Value]]*1000000,
SUBSTITUTE(Table1[[#This Row],[Target Unit]],Table1[[#This Row],[Standard Base Unit]],"")="n",Table1[[#This Row],[Standard Stock Value]]/Table1[[#This Row],[Target Value]]*1000000000,
SUBSTITUTE(Table1[[#This Row],[Target Unit]],Table1[[#This Row],[Standard Base Unit]],"")="p",Table1[[#This Row],[Standard Stock Value]]/Table1[[#This Row],[Target Value]]*1000000000000,
AND(Table1[[#This Row],[Format]]="Powder",Table1[[#This Row],[Target Unit]]="M"),Table1[[#This Row],[Standard Stock Value]]*Table1[[#This Row],[Target Value]],
AND(Table1[[#This Row],[Format]]="Powder",Table1[[#This Row],[Target Unit]]="mM"),Table1[[#This Row],[Standard Stock Value]]*Table1[[#This Row],[Target Value]]/1000,
AND(Table1[[#This Row],[Format]]="Powder",Table1[[#This Row],[Target Unit]]="µM"),Table1[[#This Row],[Standard Stock Value]]*Table1[[#This Row],[Target Value]]/1000000,
AND(Table1[[#This Row],[Format]]="Powder",Table1[[#This Row],[Target Unit]]="% (w/v)"),Table1[[#This Row],[Target Value]]*10,
TRUE, "!!!")</f>
        <v>16.666666666666668</v>
      </c>
      <c r="L14" s="16" t="str" cm="1">
        <f t="array" ref="L14">_xlfn.IFS(Table1[[#This Row],[Format]]="Powder","g/L",Table1[[#This Row],[Format]]="Liquid",":1 (" &amp; 1000/Table1[[#This Row],[Amount Needed]] &amp;  " mL/L)", TRUE, "!!!")</f>
        <v>:1 (60 mL/L)</v>
      </c>
    </row>
    <row r="15" spans="1:13" x14ac:dyDescent="0.25">
      <c r="A15" s="1" t="s">
        <v>63</v>
      </c>
      <c r="B15" s="1" t="s">
        <v>10</v>
      </c>
      <c r="C15" s="1" t="s">
        <v>8</v>
      </c>
      <c r="D15" s="1">
        <v>292.24</v>
      </c>
      <c r="E15" s="22">
        <v>0.5</v>
      </c>
      <c r="F15" s="23" t="s">
        <v>9</v>
      </c>
      <c r="G15" s="10" cm="1">
        <f t="array" ref="G15">_xlfn.IFS(Table1[[#This Row],[Stock Unit]]="NA","NA",Table1[[#This Row],[Stock Unit]]="g/mol",Table1[[#This Row],[MW (g/mol)]],Table1[[#This Row],[Stock Unit]]="M",Table1[[#This Row],[Stock Value]],Table1[[#This Row],[Stock Unit]]="mM",Table1[[#This Row],[Stock Value]]/1000,Table1[[#This Row],[Stock Unit]]="%",Table1[[#This Row],[Stock Value]],Table1[[#This Row],[Stock Unit]]="X",Table1[[#This Row],[Stock Value]],Table1[[#This Row],[Stock Unit]]="µM",Table1[[#This Row],[Stock Value]]/1000000,Table1[[#This Row],[Stock Unit]]="mg/mL",Table1[[#This Row],[Stock Value]],TRUE,"!!!")</f>
        <v>0.5</v>
      </c>
      <c r="H15" s="11" t="str" cm="1">
        <f t="array" ref="H15">_xlfn.IFS(Table1[[#This Row],[Stock Unit]]="g/mol","g/mol",Table1[[#This Row],[Stock Unit]]="NA","NA",Table1[[#This Row],[Stock Unit]]="M","M",Table1[[#This Row],[Stock Unit]]="%","%",Table1[[#This Row],[Stock Unit]]="X","X", Table1[[#This Row],[Stock Unit]]="mg/mL", "mg/mL", TRUE,"!!!")</f>
        <v>M</v>
      </c>
      <c r="I15" s="22">
        <v>2</v>
      </c>
      <c r="J15" s="25" t="s">
        <v>6</v>
      </c>
      <c r="K15" s="14" cm="1">
        <f t="array" ref="K15">_xlfn.IFS(Table1[[#This Row],[Standard Base Unit]]=Table1[[#This Row],[Target Unit]],Table1[[#This Row],[Standard Stock Value]]/Table1[[#This Row],[Target Value]],
SUBSTITUTE(Table1[[#This Row],[Target Unit]],Table1[[#This Row],[Standard Base Unit]],"")="m",Table1[[#This Row],[Standard Stock Value]]/Table1[[#This Row],[Target Value]]*1000,
SUBSTITUTE(Table1[[#This Row],[Target Unit]],Table1[[#This Row],[Standard Base Unit]],"")="µ",Table1[[#This Row],[Standard Stock Value]]/Table1[[#This Row],[Target Value]]*1000000,
SUBSTITUTE(Table1[[#This Row],[Target Unit]],Table1[[#This Row],[Standard Base Unit]],"")="n",Table1[[#This Row],[Standard Stock Value]]/Table1[[#This Row],[Target Value]]*1000000000,
SUBSTITUTE(Table1[[#This Row],[Target Unit]],Table1[[#This Row],[Standard Base Unit]],"")="p",Table1[[#This Row],[Standard Stock Value]]/Table1[[#This Row],[Target Value]]*1000000000000,
AND(Table1[[#This Row],[Format]]="Powder",Table1[[#This Row],[Target Unit]]="M"),Table1[[#This Row],[Standard Stock Value]]*Table1[[#This Row],[Target Value]],
AND(Table1[[#This Row],[Format]]="Powder",Table1[[#This Row],[Target Unit]]="mM"),Table1[[#This Row],[Standard Stock Value]]*Table1[[#This Row],[Target Value]]/1000,
AND(Table1[[#This Row],[Format]]="Powder",Table1[[#This Row],[Target Unit]]="µM"),Table1[[#This Row],[Standard Stock Value]]*Table1[[#This Row],[Target Value]]/1000000,
AND(Table1[[#This Row],[Format]]="Powder",Table1[[#This Row],[Target Unit]]="% (w/v)"),Table1[[#This Row],[Target Value]]*10,
TRUE, "!!!")</f>
        <v>250</v>
      </c>
      <c r="L15" s="15" t="str" cm="1">
        <f t="array" ref="L15">_xlfn.IFS(Table1[[#This Row],[Format]]="Powder","g/L",Table1[[#This Row],[Format]]="Liquid",":1 (" &amp; 1000/Table1[[#This Row],[Amount Needed]] &amp;  " mL/L)", TRUE, "!!!")</f>
        <v>:1 (4 mL/L)</v>
      </c>
      <c r="M15" s="1" t="s">
        <v>11</v>
      </c>
    </row>
    <row r="16" spans="1:13" x14ac:dyDescent="0.25">
      <c r="A16" s="1" t="s">
        <v>63</v>
      </c>
      <c r="B16" s="1" t="s">
        <v>15</v>
      </c>
      <c r="C16" s="1" t="s">
        <v>8</v>
      </c>
      <c r="D16" s="1" t="s">
        <v>29</v>
      </c>
      <c r="E16" s="22">
        <v>100</v>
      </c>
      <c r="F16" s="23" t="s">
        <v>13</v>
      </c>
      <c r="G16" s="10" cm="1">
        <f t="array" ref="G16">_xlfn.IFS(Table1[[#This Row],[Stock Unit]]="NA","NA",Table1[[#This Row],[Stock Unit]]="g/mol",Table1[[#This Row],[MW (g/mol)]],Table1[[#This Row],[Stock Unit]]="M",Table1[[#This Row],[Stock Value]],Table1[[#This Row],[Stock Unit]]="mM",Table1[[#This Row],[Stock Value]]/1000,Table1[[#This Row],[Stock Unit]]="%",Table1[[#This Row],[Stock Value]],Table1[[#This Row],[Stock Unit]]="X",Table1[[#This Row],[Stock Value]],Table1[[#This Row],[Stock Unit]]="µM",Table1[[#This Row],[Stock Value]]/1000000,Table1[[#This Row],[Stock Unit]]="mg/mL",Table1[[#This Row],[Stock Value]],TRUE,"!!!")</f>
        <v>100</v>
      </c>
      <c r="H16" s="11" t="str" cm="1">
        <f t="array" ref="H16">_xlfn.IFS(Table1[[#This Row],[Stock Unit]]="g/mol","g/mol",Table1[[#This Row],[Stock Unit]]="NA","NA",Table1[[#This Row],[Stock Unit]]="M","M",Table1[[#This Row],[Stock Unit]]="%","%",Table1[[#This Row],[Stock Unit]]="X","X", Table1[[#This Row],[Stock Unit]]="mg/mL", "mg/mL", TRUE,"!!!")</f>
        <v>%</v>
      </c>
      <c r="I16" s="22">
        <v>2</v>
      </c>
      <c r="J16" s="25" t="s">
        <v>13</v>
      </c>
      <c r="K16" s="14" cm="1">
        <f t="array" ref="K16">_xlfn.IFS(Table1[[#This Row],[Standard Base Unit]]=Table1[[#This Row],[Target Unit]],Table1[[#This Row],[Standard Stock Value]]/Table1[[#This Row],[Target Value]],
SUBSTITUTE(Table1[[#This Row],[Target Unit]],Table1[[#This Row],[Standard Base Unit]],"")="m",Table1[[#This Row],[Standard Stock Value]]/Table1[[#This Row],[Target Value]]*1000,
SUBSTITUTE(Table1[[#This Row],[Target Unit]],Table1[[#This Row],[Standard Base Unit]],"")="µ",Table1[[#This Row],[Standard Stock Value]]/Table1[[#This Row],[Target Value]]*1000000,
SUBSTITUTE(Table1[[#This Row],[Target Unit]],Table1[[#This Row],[Standard Base Unit]],"")="n",Table1[[#This Row],[Standard Stock Value]]/Table1[[#This Row],[Target Value]]*1000000000,
SUBSTITUTE(Table1[[#This Row],[Target Unit]],Table1[[#This Row],[Standard Base Unit]],"")="p",Table1[[#This Row],[Standard Stock Value]]/Table1[[#This Row],[Target Value]]*1000000000000,
AND(Table1[[#This Row],[Format]]="Powder",Table1[[#This Row],[Target Unit]]="M"),Table1[[#This Row],[Standard Stock Value]]*Table1[[#This Row],[Target Value]],
AND(Table1[[#This Row],[Format]]="Powder",Table1[[#This Row],[Target Unit]]="mM"),Table1[[#This Row],[Standard Stock Value]]*Table1[[#This Row],[Target Value]]/1000,
AND(Table1[[#This Row],[Format]]="Powder",Table1[[#This Row],[Target Unit]]="µM"),Table1[[#This Row],[Standard Stock Value]]*Table1[[#This Row],[Target Value]]/1000000,
AND(Table1[[#This Row],[Format]]="Powder",Table1[[#This Row],[Target Unit]]="% (w/v)"),Table1[[#This Row],[Target Value]]*10,
TRUE, "!!!")</f>
        <v>50</v>
      </c>
      <c r="L16" s="15" t="str" cm="1">
        <f t="array" ref="L16">_xlfn.IFS(Table1[[#This Row],[Format]]="Powder","g/L",Table1[[#This Row],[Format]]="Liquid",":1 (" &amp; 1000/Table1[[#This Row],[Amount Needed]] &amp;  " mL/L)", TRUE, "!!!")</f>
        <v>:1 (20 mL/L)</v>
      </c>
      <c r="M16" s="1" t="s">
        <v>60</v>
      </c>
    </row>
    <row r="17" spans="1:13" x14ac:dyDescent="0.25">
      <c r="A17" s="1" t="s">
        <v>63</v>
      </c>
      <c r="B17" s="1" t="s">
        <v>51</v>
      </c>
      <c r="C17" s="1" t="s">
        <v>5</v>
      </c>
      <c r="D17" s="1">
        <v>414.6</v>
      </c>
      <c r="E17" s="22" t="s">
        <v>29</v>
      </c>
      <c r="F17" s="23" t="s">
        <v>31</v>
      </c>
      <c r="G17" s="12" cm="1">
        <f t="array" ref="G17">_xlfn.IFS(Table1[[#This Row],[Stock Unit]]="NA","NA",Table1[[#This Row],[Stock Unit]]="g/mol",Table1[[#This Row],[MW (g/mol)]],Table1[[#This Row],[Stock Unit]]="M",Table1[[#This Row],[Stock Value]],Table1[[#This Row],[Stock Unit]]="mM",Table1[[#This Row],[Stock Value]]/1000,Table1[[#This Row],[Stock Unit]]="%",Table1[[#This Row],[Stock Value]],Table1[[#This Row],[Stock Unit]]="X",Table1[[#This Row],[Stock Value]],Table1[[#This Row],[Stock Unit]]="µM",Table1[[#This Row],[Stock Value]]/1000000,Table1[[#This Row],[Stock Unit]]="mg/mL",Table1[[#This Row],[Stock Value]],TRUE,"!!!")</f>
        <v>414.6</v>
      </c>
      <c r="H17" s="13" t="str" cm="1">
        <f t="array" ref="H17">_xlfn.IFS(Table1[[#This Row],[Stock Unit]]="g/mol","g/mol",Table1[[#This Row],[Stock Unit]]="NA","NA",Table1[[#This Row],[Stock Unit]]="M","M",Table1[[#This Row],[Stock Unit]]="%","%",Table1[[#This Row],[Stock Unit]]="X","X", Table1[[#This Row],[Stock Unit]]="mg/mL", "mg/mL", TRUE,"!!!")</f>
        <v>g/mol</v>
      </c>
      <c r="I17" s="22">
        <v>2</v>
      </c>
      <c r="J17" s="25" t="s">
        <v>55</v>
      </c>
      <c r="K17" s="17" cm="1">
        <f t="array" ref="K17">_xlfn.IFS(Table1[[#This Row],[Standard Base Unit]]=Table1[[#This Row],[Target Unit]],Table1[[#This Row],[Standard Stock Value]]/Table1[[#This Row],[Target Value]],
SUBSTITUTE(Table1[[#This Row],[Target Unit]],Table1[[#This Row],[Standard Base Unit]],"")="m",Table1[[#This Row],[Standard Stock Value]]/Table1[[#This Row],[Target Value]]*1000,
SUBSTITUTE(Table1[[#This Row],[Target Unit]],Table1[[#This Row],[Standard Base Unit]],"")="µ",Table1[[#This Row],[Standard Stock Value]]/Table1[[#This Row],[Target Value]]*1000000,
SUBSTITUTE(Table1[[#This Row],[Target Unit]],Table1[[#This Row],[Standard Base Unit]],"")="n",Table1[[#This Row],[Standard Stock Value]]/Table1[[#This Row],[Target Value]]*1000000000,
SUBSTITUTE(Table1[[#This Row],[Target Unit]],Table1[[#This Row],[Standard Base Unit]],"")="p",Table1[[#This Row],[Standard Stock Value]]/Table1[[#This Row],[Target Value]]*1000000000000,
AND(Table1[[#This Row],[Format]]="Powder",Table1[[#This Row],[Target Unit]]="M"),Table1[[#This Row],[Standard Stock Value]]*Table1[[#This Row],[Target Value]],
AND(Table1[[#This Row],[Format]]="Powder",Table1[[#This Row],[Target Unit]]="mM"),Table1[[#This Row],[Standard Stock Value]]*Table1[[#This Row],[Target Value]]/1000,
AND(Table1[[#This Row],[Format]]="Powder",Table1[[#This Row],[Target Unit]]="µM"),Table1[[#This Row],[Standard Stock Value]]*Table1[[#This Row],[Target Value]]/1000000,
AND(Table1[[#This Row],[Format]]="Powder",Table1[[#This Row],[Target Unit]]="% (w/v)"),Table1[[#This Row],[Target Value]]*10,
TRUE, "!!!")</f>
        <v>20</v>
      </c>
      <c r="L17" s="18" t="str" cm="1">
        <f t="array" ref="L17">_xlfn.IFS(Table1[[#This Row],[Format]]="Powder","g/L",Table1[[#This Row],[Format]]="Liquid",":1 (" &amp; 1000/Table1[[#This Row],[Amount Needed]] &amp;  " mL/L)", TRUE, "!!!")</f>
        <v>g/L</v>
      </c>
    </row>
    <row r="18" spans="1:13" x14ac:dyDescent="0.25">
      <c r="A18" s="1" t="s">
        <v>63</v>
      </c>
      <c r="B18" s="1" t="s">
        <v>52</v>
      </c>
      <c r="C18" s="1" t="s">
        <v>8</v>
      </c>
      <c r="D18" s="1">
        <v>41.99</v>
      </c>
      <c r="E18" s="22">
        <v>0.5</v>
      </c>
      <c r="F18" s="23" t="s">
        <v>9</v>
      </c>
      <c r="G18" s="12" cm="1">
        <f t="array" ref="G18">_xlfn.IFS(Table1[[#This Row],[Stock Unit]]="NA","NA",Table1[[#This Row],[Stock Unit]]="g/mol",Table1[[#This Row],[MW (g/mol)]],Table1[[#This Row],[Stock Unit]]="M",Table1[[#This Row],[Stock Value]],Table1[[#This Row],[Stock Unit]]="mM",Table1[[#This Row],[Stock Value]]/1000,Table1[[#This Row],[Stock Unit]]="%",Table1[[#This Row],[Stock Value]],Table1[[#This Row],[Stock Unit]]="X",Table1[[#This Row],[Stock Value]],Table1[[#This Row],[Stock Unit]]="µM",Table1[[#This Row],[Stock Value]]/1000000,Table1[[#This Row],[Stock Unit]]="mg/mL",Table1[[#This Row],[Stock Value]],TRUE,"!!!")</f>
        <v>0.5</v>
      </c>
      <c r="H18" s="13" t="str" cm="1">
        <f t="array" ref="H18">_xlfn.IFS(Table1[[#This Row],[Stock Unit]]="g/mol","g/mol",Table1[[#This Row],[Stock Unit]]="NA","NA",Table1[[#This Row],[Stock Unit]]="M","M",Table1[[#This Row],[Stock Unit]]="%","%",Table1[[#This Row],[Stock Unit]]="X","X", Table1[[#This Row],[Stock Unit]]="mg/mL", "mg/mL", TRUE,"!!!")</f>
        <v>M</v>
      </c>
      <c r="I18" s="22">
        <v>4</v>
      </c>
      <c r="J18" s="25" t="s">
        <v>6</v>
      </c>
      <c r="K18" s="17" cm="1">
        <f t="array" ref="K18">_xlfn.IFS(Table1[[#This Row],[Standard Base Unit]]=Table1[[#This Row],[Target Unit]],Table1[[#This Row],[Standard Stock Value]]/Table1[[#This Row],[Target Value]],
SUBSTITUTE(Table1[[#This Row],[Target Unit]],Table1[[#This Row],[Standard Base Unit]],"")="m",Table1[[#This Row],[Standard Stock Value]]/Table1[[#This Row],[Target Value]]*1000,
SUBSTITUTE(Table1[[#This Row],[Target Unit]],Table1[[#This Row],[Standard Base Unit]],"")="µ",Table1[[#This Row],[Standard Stock Value]]/Table1[[#This Row],[Target Value]]*1000000,
SUBSTITUTE(Table1[[#This Row],[Target Unit]],Table1[[#This Row],[Standard Base Unit]],"")="n",Table1[[#This Row],[Standard Stock Value]]/Table1[[#This Row],[Target Value]]*1000000000,
SUBSTITUTE(Table1[[#This Row],[Target Unit]],Table1[[#This Row],[Standard Base Unit]],"")="p",Table1[[#This Row],[Standard Stock Value]]/Table1[[#This Row],[Target Value]]*1000000000000,
AND(Table1[[#This Row],[Format]]="Powder",Table1[[#This Row],[Target Unit]]="M"),Table1[[#This Row],[Standard Stock Value]]*Table1[[#This Row],[Target Value]],
AND(Table1[[#This Row],[Format]]="Powder",Table1[[#This Row],[Target Unit]]="mM"),Table1[[#This Row],[Standard Stock Value]]*Table1[[#This Row],[Target Value]]/1000,
AND(Table1[[#This Row],[Format]]="Powder",Table1[[#This Row],[Target Unit]]="µM"),Table1[[#This Row],[Standard Stock Value]]*Table1[[#This Row],[Target Value]]/1000000,
AND(Table1[[#This Row],[Format]]="Powder",Table1[[#This Row],[Target Unit]]="% (w/v)"),Table1[[#This Row],[Target Value]]*10,
TRUE, "!!!")</f>
        <v>125</v>
      </c>
      <c r="L18" s="18" t="str" cm="1">
        <f t="array" ref="L18">_xlfn.IFS(Table1[[#This Row],[Format]]="Powder","g/L",Table1[[#This Row],[Format]]="Liquid",":1 (" &amp; 1000/Table1[[#This Row],[Amount Needed]] &amp;  " mL/L)", TRUE, "!!!")</f>
        <v>:1 (8 mL/L)</v>
      </c>
    </row>
    <row r="19" spans="1:13" x14ac:dyDescent="0.25">
      <c r="A19" s="1" t="s">
        <v>63</v>
      </c>
      <c r="B19" s="1" t="s">
        <v>53</v>
      </c>
      <c r="C19" s="1" t="s">
        <v>5</v>
      </c>
      <c r="D19" s="1">
        <v>183.91</v>
      </c>
      <c r="E19" s="22" t="s">
        <v>29</v>
      </c>
      <c r="F19" s="23" t="s">
        <v>31</v>
      </c>
      <c r="G19" s="12" cm="1">
        <f t="array" ref="G19">_xlfn.IFS(Table1[[#This Row],[Stock Unit]]="NA","NA",Table1[[#This Row],[Stock Unit]]="g/mol",Table1[[#This Row],[MW (g/mol)]],Table1[[#This Row],[Stock Unit]]="M",Table1[[#This Row],[Stock Value]],Table1[[#This Row],[Stock Unit]]="mM",Table1[[#This Row],[Stock Value]]/1000,Table1[[#This Row],[Stock Unit]]="%",Table1[[#This Row],[Stock Value]],Table1[[#This Row],[Stock Unit]]="X",Table1[[#This Row],[Stock Value]],Table1[[#This Row],[Stock Unit]]="µM",Table1[[#This Row],[Stock Value]]/1000000,Table1[[#This Row],[Stock Unit]]="mg/mL",Table1[[#This Row],[Stock Value]],TRUE,"!!!")</f>
        <v>183.91</v>
      </c>
      <c r="H19" s="13" t="str" cm="1">
        <f t="array" ref="H19">_xlfn.IFS(Table1[[#This Row],[Stock Unit]]="g/mol","g/mol",Table1[[#This Row],[Stock Unit]]="NA","NA",Table1[[#This Row],[Stock Unit]]="M","M",Table1[[#This Row],[Stock Unit]]="%","%",Table1[[#This Row],[Stock Unit]]="X","X", Table1[[#This Row],[Stock Unit]]="mg/mL", "mg/mL", TRUE,"!!!")</f>
        <v>g/mol</v>
      </c>
      <c r="I19" s="22">
        <v>400</v>
      </c>
      <c r="J19" s="25" t="s">
        <v>54</v>
      </c>
      <c r="K19" s="19" cm="1">
        <f t="array" ref="K19">_xlfn.IFS(Table1[[#This Row],[Standard Base Unit]]=Table1[[#This Row],[Target Unit]],Table1[[#This Row],[Standard Stock Value]]/Table1[[#This Row],[Target Value]],
SUBSTITUTE(Table1[[#This Row],[Target Unit]],Table1[[#This Row],[Standard Base Unit]],"")="m",Table1[[#This Row],[Standard Stock Value]]/Table1[[#This Row],[Target Value]]*1000,
SUBSTITUTE(Table1[[#This Row],[Target Unit]],Table1[[#This Row],[Standard Base Unit]],"")="µ",Table1[[#This Row],[Standard Stock Value]]/Table1[[#This Row],[Target Value]]*1000000,
SUBSTITUTE(Table1[[#This Row],[Target Unit]],Table1[[#This Row],[Standard Base Unit]],"")="n",Table1[[#This Row],[Standard Stock Value]]/Table1[[#This Row],[Target Value]]*1000000000,
SUBSTITUTE(Table1[[#This Row],[Target Unit]],Table1[[#This Row],[Standard Base Unit]],"")="p",Table1[[#This Row],[Standard Stock Value]]/Table1[[#This Row],[Target Value]]*1000000000000,
AND(Table1[[#This Row],[Format]]="Powder",Table1[[#This Row],[Target Unit]]="M"),Table1[[#This Row],[Standard Stock Value]]*Table1[[#This Row],[Target Value]],
AND(Table1[[#This Row],[Format]]="Powder",Table1[[#This Row],[Target Unit]]="mM"),Table1[[#This Row],[Standard Stock Value]]*Table1[[#This Row],[Target Value]]/1000,
AND(Table1[[#This Row],[Format]]="Powder",Table1[[#This Row],[Target Unit]]="µM"),Table1[[#This Row],[Standard Stock Value]]*Table1[[#This Row],[Target Value]]/1000000,
AND(Table1[[#This Row],[Format]]="Powder",Table1[[#This Row],[Target Unit]]="% (w/v)"),Table1[[#This Row],[Target Value]]*10,
TRUE, "!!!")</f>
        <v>7.3564000000000004E-2</v>
      </c>
      <c r="L19" s="18" t="str" cm="1">
        <f t="array" ref="L19">_xlfn.IFS(Table1[[#This Row],[Format]]="Powder","g/L",Table1[[#This Row],[Format]]="Liquid",":1 (" &amp; 1000/Table1[[#This Row],[Amount Needed]] &amp;  " mL/L)", TRUE, "!!!")</f>
        <v>g/L</v>
      </c>
    </row>
    <row r="20" spans="1:13" x14ac:dyDescent="0.25">
      <c r="A20" s="1" t="s">
        <v>63</v>
      </c>
      <c r="B20" s="1" t="s">
        <v>59</v>
      </c>
      <c r="C20" s="1" t="s">
        <v>8</v>
      </c>
      <c r="D20" s="1" t="s">
        <v>29</v>
      </c>
      <c r="E20" s="22">
        <v>100</v>
      </c>
      <c r="F20" s="23" t="s">
        <v>16</v>
      </c>
      <c r="G20" s="10" cm="1">
        <f t="array" ref="G20">_xlfn.IFS(Table1[[#This Row],[Stock Unit]]="NA","NA",Table1[[#This Row],[Stock Unit]]="g/mol",Table1[[#This Row],[MW (g/mol)]],Table1[[#This Row],[Stock Unit]]="M",Table1[[#This Row],[Stock Value]],Table1[[#This Row],[Stock Unit]]="mM",Table1[[#This Row],[Stock Value]]/1000,Table1[[#This Row],[Stock Unit]]="%",Table1[[#This Row],[Stock Value]],Table1[[#This Row],[Stock Unit]]="X",Table1[[#This Row],[Stock Value]],Table1[[#This Row],[Stock Unit]]="µM",Table1[[#This Row],[Stock Value]]/1000000,Table1[[#This Row],[Stock Unit]]="mg/mL",Table1[[#This Row],[Stock Value]],TRUE,"!!!")</f>
        <v>100</v>
      </c>
      <c r="H20" s="11" t="str" cm="1">
        <f t="array" ref="H20">_xlfn.IFS(Table1[[#This Row],[Stock Unit]]="g/mol","g/mol",Table1[[#This Row],[Stock Unit]]="NA","NA",Table1[[#This Row],[Stock Unit]]="M","M",Table1[[#This Row],[Stock Unit]]="%","%",Table1[[#This Row],[Stock Unit]]="X","X", Table1[[#This Row],[Stock Unit]]="mg/mL", "mg/mL", TRUE,"!!!")</f>
        <v>X</v>
      </c>
      <c r="I20" s="22">
        <v>1</v>
      </c>
      <c r="J20" s="25" t="s">
        <v>16</v>
      </c>
      <c r="K20" s="14" cm="1">
        <f t="array" ref="K20">_xlfn.IFS(Table1[[#This Row],[Standard Base Unit]]=Table1[[#This Row],[Target Unit]],Table1[[#This Row],[Standard Stock Value]]/Table1[[#This Row],[Target Value]],
SUBSTITUTE(Table1[[#This Row],[Target Unit]],Table1[[#This Row],[Standard Base Unit]],"")="m",Table1[[#This Row],[Standard Stock Value]]/Table1[[#This Row],[Target Value]]*1000,
SUBSTITUTE(Table1[[#This Row],[Target Unit]],Table1[[#This Row],[Standard Base Unit]],"")="µ",Table1[[#This Row],[Standard Stock Value]]/Table1[[#This Row],[Target Value]]*1000000,
SUBSTITUTE(Table1[[#This Row],[Target Unit]],Table1[[#This Row],[Standard Base Unit]],"")="n",Table1[[#This Row],[Standard Stock Value]]/Table1[[#This Row],[Target Value]]*1000000000,
SUBSTITUTE(Table1[[#This Row],[Target Unit]],Table1[[#This Row],[Standard Base Unit]],"")="p",Table1[[#This Row],[Standard Stock Value]]/Table1[[#This Row],[Target Value]]*1000000000000,
AND(Table1[[#This Row],[Format]]="Powder",Table1[[#This Row],[Target Unit]]="M"),Table1[[#This Row],[Standard Stock Value]]*Table1[[#This Row],[Target Value]],
AND(Table1[[#This Row],[Format]]="Powder",Table1[[#This Row],[Target Unit]]="mM"),Table1[[#This Row],[Standard Stock Value]]*Table1[[#This Row],[Target Value]]/1000,
AND(Table1[[#This Row],[Format]]="Powder",Table1[[#This Row],[Target Unit]]="µM"),Table1[[#This Row],[Standard Stock Value]]*Table1[[#This Row],[Target Value]]/1000000,
AND(Table1[[#This Row],[Format]]="Powder",Table1[[#This Row],[Target Unit]]="% (w/v)"),Table1[[#This Row],[Target Value]]*10,
TRUE, "!!!")</f>
        <v>100</v>
      </c>
      <c r="L20" s="15" t="str" cm="1">
        <f t="array" ref="L20">_xlfn.IFS(Table1[[#This Row],[Format]]="Powder","g/L",Table1[[#This Row],[Format]]="Liquid",":1 (" &amp; 1000/Table1[[#This Row],[Amount Needed]] &amp;  " mL/L)", TRUE, "!!!")</f>
        <v>:1 (10 mL/L)</v>
      </c>
      <c r="M20" s="1" t="s">
        <v>17</v>
      </c>
    </row>
    <row r="21" spans="1:13" x14ac:dyDescent="0.25">
      <c r="B21" s="1" t="s">
        <v>12</v>
      </c>
      <c r="C21" s="1" t="s">
        <v>8</v>
      </c>
      <c r="D21" s="1">
        <v>288.38</v>
      </c>
      <c r="E21" s="22">
        <v>20</v>
      </c>
      <c r="F21" s="23" t="s">
        <v>13</v>
      </c>
      <c r="G21" s="10" cm="1">
        <f t="array" ref="G21">_xlfn.IFS(Table1[[#This Row],[Stock Unit]]="NA","NA",Table1[[#This Row],[Stock Unit]]="g/mol",Table1[[#This Row],[MW (g/mol)]],Table1[[#This Row],[Stock Unit]]="M",Table1[[#This Row],[Stock Value]],Table1[[#This Row],[Stock Unit]]="mM",Table1[[#This Row],[Stock Value]]/1000,Table1[[#This Row],[Stock Unit]]="%",Table1[[#This Row],[Stock Value]],Table1[[#This Row],[Stock Unit]]="X",Table1[[#This Row],[Stock Value]],Table1[[#This Row],[Stock Unit]]="µM",Table1[[#This Row],[Stock Value]]/1000000,Table1[[#This Row],[Stock Unit]]="mg/mL",Table1[[#This Row],[Stock Value]],TRUE,"!!!")</f>
        <v>20</v>
      </c>
      <c r="H21" s="11" t="str" cm="1">
        <f t="array" ref="H21">_xlfn.IFS(Table1[[#This Row],[Stock Unit]]="g/mol","g/mol",Table1[[#This Row],[Stock Unit]]="NA","NA",Table1[[#This Row],[Stock Unit]]="M","M",Table1[[#This Row],[Stock Unit]]="%","%",Table1[[#This Row],[Stock Unit]]="X","X", Table1[[#This Row],[Stock Unit]]="mg/mL", "mg/mL", TRUE,"!!!")</f>
        <v>%</v>
      </c>
      <c r="I21" s="22">
        <v>0.5</v>
      </c>
      <c r="J21" s="25" t="s">
        <v>13</v>
      </c>
      <c r="K21" s="14" cm="1">
        <f t="array" ref="K21">_xlfn.IFS(Table1[[#This Row],[Standard Base Unit]]=Table1[[#This Row],[Target Unit]],Table1[[#This Row],[Standard Stock Value]]/Table1[[#This Row],[Target Value]],
SUBSTITUTE(Table1[[#This Row],[Target Unit]],Table1[[#This Row],[Standard Base Unit]],"")="m",Table1[[#This Row],[Standard Stock Value]]/Table1[[#This Row],[Target Value]]*1000,
SUBSTITUTE(Table1[[#This Row],[Target Unit]],Table1[[#This Row],[Standard Base Unit]],"")="µ",Table1[[#This Row],[Standard Stock Value]]/Table1[[#This Row],[Target Value]]*1000000,
SUBSTITUTE(Table1[[#This Row],[Target Unit]],Table1[[#This Row],[Standard Base Unit]],"")="n",Table1[[#This Row],[Standard Stock Value]]/Table1[[#This Row],[Target Value]]*1000000000,
SUBSTITUTE(Table1[[#This Row],[Target Unit]],Table1[[#This Row],[Standard Base Unit]],"")="p",Table1[[#This Row],[Standard Stock Value]]/Table1[[#This Row],[Target Value]]*1000000000000,
AND(Table1[[#This Row],[Format]]="Powder",Table1[[#This Row],[Target Unit]]="M"),Table1[[#This Row],[Standard Stock Value]]*Table1[[#This Row],[Target Value]],
AND(Table1[[#This Row],[Format]]="Powder",Table1[[#This Row],[Target Unit]]="mM"),Table1[[#This Row],[Standard Stock Value]]*Table1[[#This Row],[Target Value]]/1000,
AND(Table1[[#This Row],[Format]]="Powder",Table1[[#This Row],[Target Unit]]="µM"),Table1[[#This Row],[Standard Stock Value]]*Table1[[#This Row],[Target Value]]/1000000,
AND(Table1[[#This Row],[Format]]="Powder",Table1[[#This Row],[Target Unit]]="% (w/v)"),Table1[[#This Row],[Target Value]]*10,
TRUE, "!!!")</f>
        <v>40</v>
      </c>
      <c r="L21" s="15" t="str" cm="1">
        <f t="array" ref="L21">_xlfn.IFS(Table1[[#This Row],[Format]]="Powder","g/L",Table1[[#This Row],[Format]]="Liquid",":1 (" &amp; 1000/Table1[[#This Row],[Amount Needed]] &amp;  " mL/L)", TRUE, "!!!")</f>
        <v>:1 (25 mL/L)</v>
      </c>
      <c r="M21" s="1" t="s">
        <v>14</v>
      </c>
    </row>
    <row r="22" spans="1:13" x14ac:dyDescent="0.25">
      <c r="B22" s="1" t="s">
        <v>18</v>
      </c>
      <c r="C22" s="1" t="s">
        <v>8</v>
      </c>
      <c r="D22" s="1">
        <v>349.41</v>
      </c>
      <c r="E22" s="22">
        <v>100</v>
      </c>
      <c r="F22" s="23" t="s">
        <v>19</v>
      </c>
      <c r="G22" s="10" cm="1">
        <f t="array" ref="G22">_xlfn.IFS(Table1[[#This Row],[Stock Unit]]="NA","NA",Table1[[#This Row],[Stock Unit]]="g/mol",Table1[[#This Row],[MW (g/mol)]],Table1[[#This Row],[Stock Unit]]="M",Table1[[#This Row],[Stock Value]],Table1[[#This Row],[Stock Unit]]="mM",Table1[[#This Row],[Stock Value]]/1000,Table1[[#This Row],[Stock Unit]]="%",Table1[[#This Row],[Stock Value]],Table1[[#This Row],[Stock Unit]]="X",Table1[[#This Row],[Stock Value]],Table1[[#This Row],[Stock Unit]]="µM",Table1[[#This Row],[Stock Value]]/1000000,Table1[[#This Row],[Stock Unit]]="mg/mL",Table1[[#This Row],[Stock Value]],TRUE,"!!!")</f>
        <v>100</v>
      </c>
      <c r="H22" s="11" t="str" cm="1">
        <f t="array" ref="H22">_xlfn.IFS(Table1[[#This Row],[Stock Unit]]="g/mol","g/mol",Table1[[#This Row],[Stock Unit]]="NA","NA",Table1[[#This Row],[Stock Unit]]="M","M",Table1[[#This Row],[Stock Unit]]="%","%",Table1[[#This Row],[Stock Unit]]="X","X", Table1[[#This Row],[Stock Unit]]="mg/mL", "mg/mL", TRUE,"!!!")</f>
        <v>mg/mL</v>
      </c>
      <c r="I22" s="22">
        <v>100</v>
      </c>
      <c r="J22" s="25" t="s">
        <v>20</v>
      </c>
      <c r="K22" s="14" t="str" cm="1">
        <f t="array" ref="K22">_xlfn.IFS(Table1[[#This Row],[Standard Base Unit]]=Table1[[#This Row],[Target Unit]],Table1[[#This Row],[Standard Stock Value]]/Table1[[#This Row],[Target Value]],
SUBSTITUTE(Table1[[#This Row],[Target Unit]],Table1[[#This Row],[Standard Base Unit]],"")="m",Table1[[#This Row],[Standard Stock Value]]/Table1[[#This Row],[Target Value]]*1000,
SUBSTITUTE(Table1[[#This Row],[Target Unit]],Table1[[#This Row],[Standard Base Unit]],"")="µ",Table1[[#This Row],[Standard Stock Value]]/Table1[[#This Row],[Target Value]]*1000000,
SUBSTITUTE(Table1[[#This Row],[Target Unit]],Table1[[#This Row],[Standard Base Unit]],"")="n",Table1[[#This Row],[Standard Stock Value]]/Table1[[#This Row],[Target Value]]*1000000000,
SUBSTITUTE(Table1[[#This Row],[Target Unit]],Table1[[#This Row],[Standard Base Unit]],"")="p",Table1[[#This Row],[Standard Stock Value]]/Table1[[#This Row],[Target Value]]*1000000000000,
AND(Table1[[#This Row],[Format]]="Powder",Table1[[#This Row],[Target Unit]]="M"),Table1[[#This Row],[Standard Stock Value]]*Table1[[#This Row],[Target Value]],
AND(Table1[[#This Row],[Format]]="Powder",Table1[[#This Row],[Target Unit]]="mM"),Table1[[#This Row],[Standard Stock Value]]*Table1[[#This Row],[Target Value]]/1000,
AND(Table1[[#This Row],[Format]]="Powder",Table1[[#This Row],[Target Unit]]="µM"),Table1[[#This Row],[Standard Stock Value]]*Table1[[#This Row],[Target Value]]/1000000,
AND(Table1[[#This Row],[Format]]="Powder",Table1[[#This Row],[Target Unit]]="% (w/v)"),Table1[[#This Row],[Target Value]]*10,
TRUE, "!!!")</f>
        <v>!!!</v>
      </c>
      <c r="L22" s="15" t="e" cm="1">
        <f t="array" ref="L22">_xlfn.IFS(Table1[[#This Row],[Format]]="Powder","g/L",Table1[[#This Row],[Format]]="Liquid",":1 (" &amp; 1000/Table1[[#This Row],[Amount Needed]] &amp;  " mL/L)", TRUE, "!!!")</f>
        <v>#VALUE!</v>
      </c>
    </row>
    <row r="23" spans="1:13" x14ac:dyDescent="0.25">
      <c r="B23" s="1" t="s">
        <v>21</v>
      </c>
      <c r="C23" s="1" t="s">
        <v>5</v>
      </c>
      <c r="D23" s="1">
        <v>66430</v>
      </c>
      <c r="E23" s="22" t="s">
        <v>29</v>
      </c>
      <c r="F23" s="23" t="s">
        <v>31</v>
      </c>
      <c r="G23" s="10" cm="1">
        <f t="array" ref="G23">_xlfn.IFS(Table1[[#This Row],[Stock Unit]]="NA","NA",Table1[[#This Row],[Stock Unit]]="g/mol",Table1[[#This Row],[MW (g/mol)]],Table1[[#This Row],[Stock Unit]]="M",Table1[[#This Row],[Stock Value]],Table1[[#This Row],[Stock Unit]]="mM",Table1[[#This Row],[Stock Value]]/1000,Table1[[#This Row],[Stock Unit]]="%",Table1[[#This Row],[Stock Value]],Table1[[#This Row],[Stock Unit]]="X",Table1[[#This Row],[Stock Value]],Table1[[#This Row],[Stock Unit]]="µM",Table1[[#This Row],[Stock Value]]/1000000,Table1[[#This Row],[Stock Unit]]="mg/mL",Table1[[#This Row],[Stock Value]],TRUE,"!!!")</f>
        <v>66430</v>
      </c>
      <c r="H23" s="11" t="str" cm="1">
        <f t="array" ref="H23">_xlfn.IFS(Table1[[#This Row],[Stock Unit]]="g/mol","g/mol",Table1[[#This Row],[Stock Unit]]="NA","NA",Table1[[#This Row],[Stock Unit]]="M","M",Table1[[#This Row],[Stock Unit]]="%","%",Table1[[#This Row],[Stock Unit]]="X","X", Table1[[#This Row],[Stock Unit]]="mg/mL", "mg/mL", TRUE,"!!!")</f>
        <v>g/mol</v>
      </c>
      <c r="I23" s="22"/>
      <c r="J23" s="25" t="s">
        <v>19</v>
      </c>
      <c r="K23" s="14" t="str" cm="1">
        <f t="array" ref="K23">_xlfn.IFS(Table1[[#This Row],[Standard Base Unit]]=Table1[[#This Row],[Target Unit]],Table1[[#This Row],[Standard Stock Value]]/Table1[[#This Row],[Target Value]],
SUBSTITUTE(Table1[[#This Row],[Target Unit]],Table1[[#This Row],[Standard Base Unit]],"")="m",Table1[[#This Row],[Standard Stock Value]]/Table1[[#This Row],[Target Value]]*1000,
SUBSTITUTE(Table1[[#This Row],[Target Unit]],Table1[[#This Row],[Standard Base Unit]],"")="µ",Table1[[#This Row],[Standard Stock Value]]/Table1[[#This Row],[Target Value]]*1000000,
SUBSTITUTE(Table1[[#This Row],[Target Unit]],Table1[[#This Row],[Standard Base Unit]],"")="n",Table1[[#This Row],[Standard Stock Value]]/Table1[[#This Row],[Target Value]]*1000000000,
SUBSTITUTE(Table1[[#This Row],[Target Unit]],Table1[[#This Row],[Standard Base Unit]],"")="p",Table1[[#This Row],[Standard Stock Value]]/Table1[[#This Row],[Target Value]]*1000000000000,
AND(Table1[[#This Row],[Format]]="Powder",Table1[[#This Row],[Target Unit]]="M"),Table1[[#This Row],[Standard Stock Value]]*Table1[[#This Row],[Target Value]],
AND(Table1[[#This Row],[Format]]="Powder",Table1[[#This Row],[Target Unit]]="mM"),Table1[[#This Row],[Standard Stock Value]]*Table1[[#This Row],[Target Value]]/1000,
AND(Table1[[#This Row],[Format]]="Powder",Table1[[#This Row],[Target Unit]]="µM"),Table1[[#This Row],[Standard Stock Value]]*Table1[[#This Row],[Target Value]]/1000000,
AND(Table1[[#This Row],[Format]]="Powder",Table1[[#This Row],[Target Unit]]="% (w/v)"),Table1[[#This Row],[Target Value]]*10,
TRUE, "!!!")</f>
        <v>!!!</v>
      </c>
      <c r="L23" s="15" t="str" cm="1">
        <f t="array" ref="L23">_xlfn.IFS(Table1[[#This Row],[Format]]="Powder","g/L",Table1[[#This Row],[Format]]="Liquid",":1 (" &amp; 1000/Table1[[#This Row],[Amount Needed]] &amp;  " mL/L)", TRUE, "!!!")</f>
        <v>g/L</v>
      </c>
      <c r="M23" s="1" t="s">
        <v>22</v>
      </c>
    </row>
    <row r="24" spans="1:13" x14ac:dyDescent="0.25">
      <c r="B24" s="1" t="s">
        <v>23</v>
      </c>
      <c r="C24" s="1" t="s">
        <v>8</v>
      </c>
      <c r="D24" s="1" t="s">
        <v>29</v>
      </c>
      <c r="E24" s="22">
        <v>10</v>
      </c>
      <c r="F24" s="23" t="s">
        <v>24</v>
      </c>
      <c r="G24" s="10" t="str" cm="1">
        <f t="array" ref="G24">_xlfn.IFS(Table1[[#This Row],[Stock Unit]]="NA","NA",Table1[[#This Row],[Stock Unit]]="g/mol",Table1[[#This Row],[MW (g/mol)]],Table1[[#This Row],[Stock Unit]]="M",Table1[[#This Row],[Stock Value]],Table1[[#This Row],[Stock Unit]]="mM",Table1[[#This Row],[Stock Value]]/1000,Table1[[#This Row],[Stock Unit]]="%",Table1[[#This Row],[Stock Value]],Table1[[#This Row],[Stock Unit]]="X",Table1[[#This Row],[Stock Value]],Table1[[#This Row],[Stock Unit]]="µM",Table1[[#This Row],[Stock Value]]/1000000,Table1[[#This Row],[Stock Unit]]="mg/mL",Table1[[#This Row],[Stock Value]],TRUE,"!!!")</f>
        <v>!!!</v>
      </c>
      <c r="H24" s="11" t="str" cm="1">
        <f t="array" ref="H24">_xlfn.IFS(Table1[[#This Row],[Stock Unit]]="g/mol","g/mol",Table1[[#This Row],[Stock Unit]]="NA","NA",Table1[[#This Row],[Stock Unit]]="M","M",Table1[[#This Row],[Stock Unit]]="%","%",Table1[[#This Row],[Stock Unit]]="X","X", Table1[[#This Row],[Stock Unit]]="mg/mL", "mg/mL", TRUE,"!!!")</f>
        <v>!!!</v>
      </c>
      <c r="I24" s="22"/>
      <c r="J24" s="25" t="s">
        <v>25</v>
      </c>
      <c r="K24" s="14" t="str" cm="1">
        <f t="array" ref="K24">_xlfn.IFS(Table1[[#This Row],[Standard Base Unit]]=Table1[[#This Row],[Target Unit]],Table1[[#This Row],[Standard Stock Value]]/Table1[[#This Row],[Target Value]],
SUBSTITUTE(Table1[[#This Row],[Target Unit]],Table1[[#This Row],[Standard Base Unit]],"")="m",Table1[[#This Row],[Standard Stock Value]]/Table1[[#This Row],[Target Value]]*1000,
SUBSTITUTE(Table1[[#This Row],[Target Unit]],Table1[[#This Row],[Standard Base Unit]],"")="µ",Table1[[#This Row],[Standard Stock Value]]/Table1[[#This Row],[Target Value]]*1000000,
SUBSTITUTE(Table1[[#This Row],[Target Unit]],Table1[[#This Row],[Standard Base Unit]],"")="n",Table1[[#This Row],[Standard Stock Value]]/Table1[[#This Row],[Target Value]]*1000000000,
SUBSTITUTE(Table1[[#This Row],[Target Unit]],Table1[[#This Row],[Standard Base Unit]],"")="p",Table1[[#This Row],[Standard Stock Value]]/Table1[[#This Row],[Target Value]]*1000000000000,
AND(Table1[[#This Row],[Format]]="Powder",Table1[[#This Row],[Target Unit]]="M"),Table1[[#This Row],[Standard Stock Value]]*Table1[[#This Row],[Target Value]],
AND(Table1[[#This Row],[Format]]="Powder",Table1[[#This Row],[Target Unit]]="mM"),Table1[[#This Row],[Standard Stock Value]]*Table1[[#This Row],[Target Value]]/1000,
AND(Table1[[#This Row],[Format]]="Powder",Table1[[#This Row],[Target Unit]]="µM"),Table1[[#This Row],[Standard Stock Value]]*Table1[[#This Row],[Target Value]]/1000000,
AND(Table1[[#This Row],[Format]]="Powder",Table1[[#This Row],[Target Unit]]="% (w/v)"),Table1[[#This Row],[Target Value]]*10,
TRUE, "!!!")</f>
        <v>!!!</v>
      </c>
      <c r="L24" s="15" t="e" cm="1">
        <f t="array" ref="L24">_xlfn.IFS(Table1[[#This Row],[Format]]="Powder","g/L",Table1[[#This Row],[Format]]="Liquid",":1 (" &amp; 1000/Table1[[#This Row],[Amount Needed]] &amp;  " mL/L)", TRUE, "!!!")</f>
        <v>#VALUE!</v>
      </c>
      <c r="M24" s="1" t="s">
        <v>26</v>
      </c>
    </row>
    <row r="25" spans="1:13" x14ac:dyDescent="0.25">
      <c r="B25" s="1" t="s">
        <v>27</v>
      </c>
      <c r="C25" s="1" t="s">
        <v>8</v>
      </c>
      <c r="D25" s="1">
        <v>154.25</v>
      </c>
      <c r="E25" s="22">
        <v>1</v>
      </c>
      <c r="F25" s="23" t="s">
        <v>9</v>
      </c>
      <c r="G25" s="10" cm="1">
        <f t="array" ref="G25">_xlfn.IFS(Table1[[#This Row],[Stock Unit]]="NA","NA",Table1[[#This Row],[Stock Unit]]="g/mol",Table1[[#This Row],[MW (g/mol)]],Table1[[#This Row],[Stock Unit]]="M",Table1[[#This Row],[Stock Value]],Table1[[#This Row],[Stock Unit]]="mM",Table1[[#This Row],[Stock Value]]/1000,Table1[[#This Row],[Stock Unit]]="%",Table1[[#This Row],[Stock Value]],Table1[[#This Row],[Stock Unit]]="X",Table1[[#This Row],[Stock Value]],Table1[[#This Row],[Stock Unit]]="µM",Table1[[#This Row],[Stock Value]]/1000000,Table1[[#This Row],[Stock Unit]]="mg/mL",Table1[[#This Row],[Stock Value]],TRUE,"!!!")</f>
        <v>1</v>
      </c>
      <c r="H25" s="11" t="str" cm="1">
        <f t="array" ref="H25">_xlfn.IFS(Table1[[#This Row],[Stock Unit]]="g/mol","g/mol",Table1[[#This Row],[Stock Unit]]="NA","NA",Table1[[#This Row],[Stock Unit]]="M","M",Table1[[#This Row],[Stock Unit]]="%","%",Table1[[#This Row],[Stock Unit]]="X","X", Table1[[#This Row],[Stock Unit]]="mg/mL", "mg/mL", TRUE,"!!!")</f>
        <v>M</v>
      </c>
      <c r="I25" s="22">
        <v>100</v>
      </c>
      <c r="J25" s="25" t="s">
        <v>6</v>
      </c>
      <c r="K25" s="14" cm="1">
        <f t="array" ref="K25">_xlfn.IFS(Table1[[#This Row],[Standard Base Unit]]=Table1[[#This Row],[Target Unit]],Table1[[#This Row],[Standard Stock Value]]/Table1[[#This Row],[Target Value]],
SUBSTITUTE(Table1[[#This Row],[Target Unit]],Table1[[#This Row],[Standard Base Unit]],"")="m",Table1[[#This Row],[Standard Stock Value]]/Table1[[#This Row],[Target Value]]*1000,
SUBSTITUTE(Table1[[#This Row],[Target Unit]],Table1[[#This Row],[Standard Base Unit]],"")="µ",Table1[[#This Row],[Standard Stock Value]]/Table1[[#This Row],[Target Value]]*1000000,
SUBSTITUTE(Table1[[#This Row],[Target Unit]],Table1[[#This Row],[Standard Base Unit]],"")="n",Table1[[#This Row],[Standard Stock Value]]/Table1[[#This Row],[Target Value]]*1000000000,
SUBSTITUTE(Table1[[#This Row],[Target Unit]],Table1[[#This Row],[Standard Base Unit]],"")="p",Table1[[#This Row],[Standard Stock Value]]/Table1[[#This Row],[Target Value]]*1000000000000,
AND(Table1[[#This Row],[Format]]="Powder",Table1[[#This Row],[Target Unit]]="M"),Table1[[#This Row],[Standard Stock Value]]*Table1[[#This Row],[Target Value]],
AND(Table1[[#This Row],[Format]]="Powder",Table1[[#This Row],[Target Unit]]="mM"),Table1[[#This Row],[Standard Stock Value]]*Table1[[#This Row],[Target Value]]/1000,
AND(Table1[[#This Row],[Format]]="Powder",Table1[[#This Row],[Target Unit]]="µM"),Table1[[#This Row],[Standard Stock Value]]*Table1[[#This Row],[Target Value]]/1000000,
AND(Table1[[#This Row],[Format]]="Powder",Table1[[#This Row],[Target Unit]]="% (w/v)"),Table1[[#This Row],[Target Value]]*10,
TRUE, "!!!")</f>
        <v>10</v>
      </c>
      <c r="L25" s="15" t="str" cm="1">
        <f t="array" ref="L25">_xlfn.IFS(Table1[[#This Row],[Format]]="Powder","g/L",Table1[[#This Row],[Format]]="Liquid",":1 (" &amp; 1000/Table1[[#This Row],[Amount Needed]] &amp;  " mL/L)", TRUE, "!!!")</f>
        <v>:1 (100 mL/L)</v>
      </c>
      <c r="M25" s="1" t="s">
        <v>28</v>
      </c>
    </row>
    <row r="35" spans="9:9" x14ac:dyDescent="0.25">
      <c r="I35" s="25" t="s">
        <v>30</v>
      </c>
    </row>
  </sheetData>
  <phoneticPr fontId="7" type="noConversion"/>
  <dataValidations count="2">
    <dataValidation type="list" allowBlank="1" showInputMessage="1" showErrorMessage="1" sqref="A2:A25" xr:uid="{7D9B86D3-FB39-431E-A5BA-4B412B7990DF}">
      <formula1>BufferID</formula1>
    </dataValidation>
    <dataValidation type="list" allowBlank="1" showInputMessage="1" showErrorMessage="1" sqref="C2:C25" xr:uid="{0B8F643F-CE16-46D6-8625-FD78F553B6E7}">
      <formula1>Format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19BC7-F043-4B7A-88F5-6F792DD84560}">
  <dimension ref="B1:B4"/>
  <sheetViews>
    <sheetView workbookViewId="0">
      <selection activeCell="C16" sqref="C16"/>
    </sheetView>
  </sheetViews>
  <sheetFormatPr defaultRowHeight="15" x14ac:dyDescent="0.25"/>
  <cols>
    <col min="2" max="2" width="11" customWidth="1"/>
  </cols>
  <sheetData>
    <row r="1" spans="2:2" x14ac:dyDescent="0.25">
      <c r="B1" t="s">
        <v>33</v>
      </c>
    </row>
    <row r="2" spans="2:2" x14ac:dyDescent="0.25">
      <c r="B2" t="s">
        <v>5</v>
      </c>
    </row>
    <row r="3" spans="2:2" x14ac:dyDescent="0.25">
      <c r="B3" t="s">
        <v>8</v>
      </c>
    </row>
    <row r="4" spans="2:2" x14ac:dyDescent="0.25">
      <c r="B4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Buffer Master</vt:lpstr>
      <vt:lpstr>Chemicals</vt:lpstr>
      <vt:lpstr>Backend</vt:lpstr>
      <vt:lpstr>BufferID</vt:lpstr>
      <vt:lpstr>BufferList</vt:lpstr>
      <vt:lpstr>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Nguyen</dc:creator>
  <cp:lastModifiedBy>Vu Nguyen</cp:lastModifiedBy>
  <dcterms:created xsi:type="dcterms:W3CDTF">2026-02-23T16:25:32Z</dcterms:created>
  <dcterms:modified xsi:type="dcterms:W3CDTF">2026-02-23T23:46:34Z</dcterms:modified>
</cp:coreProperties>
</file>